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2c17d59ae32430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matte\Desktop\Gestione Magazino Excel\"/>
    </mc:Choice>
  </mc:AlternateContent>
  <xr:revisionPtr revIDLastSave="0" documentId="13_ncr:1_{3D92E3F2-50AD-43B9-B858-8BF51B6B5BB0}" xr6:coauthVersionLast="47" xr6:coauthVersionMax="47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HSettings" sheetId="12" state="veryHidden" r:id="rId1"/>
    <sheet name="Settings" sheetId="4" r:id="rId2"/>
    <sheet name="Operazioni" sheetId="1" r:id="rId3"/>
    <sheet name="Inventario" sheetId="2" r:id="rId4"/>
    <sheet name="Riepilogo" sheetId="3" r:id="rId5"/>
  </sheets>
  <functionGroups builtInGroupCount="19"/>
  <definedNames>
    <definedName name="_xlnm._FilterDatabase" localSheetId="3" hidden="1">Inventario!$A$1:$O$14</definedName>
    <definedName name="_xlnm._FilterDatabase" localSheetId="2" hidden="1">Operazioni!$A$1:$U$43</definedName>
    <definedName name="_xleta.COUNTIFS" hidden="1" xlm="1">#NAME?</definedName>
    <definedName name="_xleta.IF" hidden="1" xlm="1">#NAME?</definedName>
    <definedName name="_xleta.PRODUCT" hidden="1" xlm="1">#NAME?</definedName>
    <definedName name="_xleta.SUM" hidden="1" xlm="1">#NAME?</definedName>
    <definedName name="_xleta.TODAY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N2" i="2"/>
  <c r="M2" i="2"/>
  <c r="L2" i="2"/>
  <c r="O3" i="2"/>
  <c r="O4" i="2"/>
  <c r="O5" i="2"/>
  <c r="O6" i="2"/>
  <c r="O7" i="2"/>
  <c r="O8" i="2"/>
  <c r="O9" i="2"/>
  <c r="O10" i="2"/>
  <c r="O11" i="2"/>
  <c r="O12" i="2"/>
  <c r="O13" i="2"/>
  <c r="O14" i="2"/>
  <c r="N3" i="2"/>
  <c r="N4" i="2"/>
  <c r="N5" i="2"/>
  <c r="N6" i="2"/>
  <c r="N7" i="2"/>
  <c r="N8" i="2"/>
  <c r="N9" i="2"/>
  <c r="N10" i="2"/>
  <c r="N11" i="2"/>
  <c r="N12" i="2"/>
  <c r="N13" i="2"/>
  <c r="N14" i="2"/>
  <c r="M3" i="2"/>
  <c r="M4" i="2"/>
  <c r="M5" i="2"/>
  <c r="M6" i="2"/>
  <c r="M7" i="2"/>
  <c r="M8" i="2"/>
  <c r="M9" i="2"/>
  <c r="M10" i="2"/>
  <c r="M11" i="2"/>
  <c r="M12" i="2"/>
  <c r="M13" i="2"/>
  <c r="M14" i="2"/>
  <c r="L3" i="2"/>
  <c r="L4" i="2"/>
  <c r="L5" i="2"/>
  <c r="L6" i="2"/>
  <c r="L7" i="2"/>
  <c r="L8" i="2"/>
  <c r="L9" i="2"/>
  <c r="L10" i="2"/>
  <c r="L11" i="2"/>
  <c r="L12" i="2"/>
  <c r="L13" i="2"/>
  <c r="L14" i="2"/>
  <c r="I3" i="2"/>
  <c r="I4" i="2"/>
  <c r="I5" i="2"/>
  <c r="I6" i="2"/>
  <c r="I7" i="2"/>
  <c r="I8" i="2"/>
  <c r="I9" i="2"/>
  <c r="I10" i="2"/>
  <c r="I11" i="2"/>
  <c r="I12" i="2"/>
  <c r="I13" i="2"/>
  <c r="I14" i="2"/>
  <c r="I2" i="2"/>
  <c r="C3" i="2"/>
  <c r="C4" i="2"/>
  <c r="C5" i="2"/>
  <c r="C6" i="2"/>
  <c r="C7" i="2"/>
  <c r="C8" i="2"/>
  <c r="C9" i="2"/>
  <c r="C10" i="2"/>
  <c r="C11" i="2"/>
  <c r="C12" i="2"/>
  <c r="C13" i="2"/>
  <c r="C14" i="2"/>
  <c r="C2" i="2"/>
  <c r="F10" i="3"/>
  <c r="F8" i="3"/>
  <c r="F9" i="3"/>
  <c r="B7" i="3"/>
  <c r="B6" i="3"/>
  <c r="B5" i="3"/>
  <c r="F7" i="3"/>
  <c r="F6" i="3"/>
  <c r="F3" i="3"/>
  <c r="B2" i="3"/>
  <c r="C10" i="3" l="1"/>
  <c r="B10" i="3" s="1"/>
  <c r="C11" i="3"/>
  <c r="B11" i="3" s="1"/>
  <c r="C12" i="3"/>
  <c r="B12" i="3" s="1"/>
  <c r="H13" i="2"/>
  <c r="H2" i="2"/>
  <c r="H10" i="2"/>
  <c r="H14" i="2"/>
  <c r="H9" i="2"/>
  <c r="H12" i="2"/>
  <c r="H7" i="2"/>
  <c r="H11" i="2"/>
  <c r="H6" i="2"/>
  <c r="H5" i="2"/>
  <c r="H4" i="2"/>
  <c r="H3" i="2"/>
  <c r="H8" i="2"/>
  <c r="B4" i="4"/>
  <c r="B3" i="3" l="1"/>
  <c r="F4" i="3"/>
  <c r="F5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matteo olla</author>
  </authors>
  <commentList>
    <comment ref="A7" authorId="0" shapeId="0" xr:uid="{B005D48E-7C8D-4B04-A430-A7E457A8B0A3}">
      <text>
        <r>
          <rPr>
            <b/>
            <sz val="9"/>
            <color indexed="81"/>
            <rFont val="Tahoma"/>
            <family val="2"/>
          </rPr>
          <t>matteo olla:</t>
        </r>
        <r>
          <rPr>
            <sz val="9"/>
            <color indexed="81"/>
            <rFont val="Tahoma"/>
            <family val="2"/>
          </rPr>
          <t xml:space="preserve">
imposta il formato valuta che preferisci come faresti normalmente su Excel. Poi premi su Applica</t>
        </r>
      </text>
    </comment>
  </commentList>
</comments>
</file>

<file path=xl/sharedStrings.xml><?xml version="1.0" encoding="utf-8"?>
<sst xmlns="http://schemas.openxmlformats.org/spreadsheetml/2006/main" count="356" uniqueCount="135">
  <si>
    <t>Data</t>
  </si>
  <si>
    <t>Tipo</t>
  </si>
  <si>
    <t>Q.</t>
  </si>
  <si>
    <t>ID Op.</t>
  </si>
  <si>
    <t>I/U</t>
  </si>
  <si>
    <t>Note</t>
  </si>
  <si>
    <t>Anno</t>
  </si>
  <si>
    <t>Mese</t>
  </si>
  <si>
    <t>Giorno</t>
  </si>
  <si>
    <t>Nome</t>
  </si>
  <si>
    <t>Q. In Arrivo</t>
  </si>
  <si>
    <t>Q. Non Disp.</t>
  </si>
  <si>
    <t>Descrizione</t>
  </si>
  <si>
    <t>Prodotti Totali</t>
  </si>
  <si>
    <t>Quantità Totali</t>
  </si>
  <si>
    <t>Ingresso</t>
  </si>
  <si>
    <t>ID Pr.</t>
  </si>
  <si>
    <t>Q. Disp</t>
  </si>
  <si>
    <t>Data Reg.</t>
  </si>
  <si>
    <t>Unità Disp. Nel lotto</t>
  </si>
  <si>
    <t>Decimal Separator</t>
  </si>
  <si>
    <t>,</t>
  </si>
  <si>
    <t>Accounting System</t>
  </si>
  <si>
    <t>Average</t>
  </si>
  <si>
    <t>Currency Format</t>
  </si>
  <si>
    <t>Q. Iniziale</t>
  </si>
  <si>
    <t>Backup Settings</t>
  </si>
  <si>
    <t>Directory 1</t>
  </si>
  <si>
    <t>Directory 2</t>
  </si>
  <si>
    <t>Percorso</t>
  </si>
  <si>
    <t>nome 1</t>
  </si>
  <si>
    <t>Prima registrazione</t>
  </si>
  <si>
    <t>€</t>
  </si>
  <si>
    <t>IVA %</t>
  </si>
  <si>
    <t>Decimal</t>
  </si>
  <si>
    <t>IVA T</t>
  </si>
  <si>
    <t>IVA U</t>
  </si>
  <si>
    <t>Uscita</t>
  </si>
  <si>
    <t>nome 2</t>
  </si>
  <si>
    <t>dec</t>
  </si>
  <si>
    <t>COGS U. (Netto IVA)</t>
  </si>
  <si>
    <t>COGS T. (Netto IVA)</t>
  </si>
  <si>
    <t>2024-19</t>
  </si>
  <si>
    <t>2024-20</t>
  </si>
  <si>
    <t>rr1</t>
  </si>
  <si>
    <t>ert</t>
  </si>
  <si>
    <t>nome ERT</t>
  </si>
  <si>
    <t>fgh</t>
  </si>
  <si>
    <t>2024-21</t>
  </si>
  <si>
    <t>Totale Inventario (Netto IVA)</t>
  </si>
  <si>
    <t>Prezzo V. (IVA Inc.)</t>
  </si>
  <si>
    <t>Prezzo V. (IVA Esc.)</t>
  </si>
  <si>
    <t>asdfggg</t>
  </si>
  <si>
    <t>note</t>
  </si>
  <si>
    <t>2024-22</t>
  </si>
  <si>
    <t>dssssssssss</t>
  </si>
  <si>
    <t>nome 10.1%</t>
  </si>
  <si>
    <t>2024-27</t>
  </si>
  <si>
    <t>dfv</t>
  </si>
  <si>
    <t>test</t>
  </si>
  <si>
    <t>2024-28</t>
  </si>
  <si>
    <t>dz</t>
  </si>
  <si>
    <t>2024-29</t>
  </si>
  <si>
    <t>Costo Unit. Medio (Netto IVA)</t>
  </si>
  <si>
    <t>Costo/Prezzo Tot Ordine (Netto IVA)</t>
  </si>
  <si>
    <t>Costo/Prezzo Unit. Ordine (Netto IVA)</t>
  </si>
  <si>
    <t>2024-1</t>
  </si>
  <si>
    <t>Acquisto</t>
  </si>
  <si>
    <t>2024-2</t>
  </si>
  <si>
    <t>Vendita</t>
  </si>
  <si>
    <t>2024-3</t>
  </si>
  <si>
    <t>2024-4</t>
  </si>
  <si>
    <t>2024-5</t>
  </si>
  <si>
    <t>2024-6</t>
  </si>
  <si>
    <t>2024-7</t>
  </si>
  <si>
    <t>2024-8</t>
  </si>
  <si>
    <t>2024-9</t>
  </si>
  <si>
    <t>2024-10</t>
  </si>
  <si>
    <t>2024-11</t>
  </si>
  <si>
    <t>2024-12</t>
  </si>
  <si>
    <t>2024-13</t>
  </si>
  <si>
    <t>2024-14</t>
  </si>
  <si>
    <t>2024-15</t>
  </si>
  <si>
    <t>2024-16</t>
  </si>
  <si>
    <t>2024-17</t>
  </si>
  <si>
    <t>2024-18</t>
  </si>
  <si>
    <t>2024-23</t>
  </si>
  <si>
    <t>2024-24</t>
  </si>
  <si>
    <t>2024-25</t>
  </si>
  <si>
    <t>2024-26</t>
  </si>
  <si>
    <t>2024-30</t>
  </si>
  <si>
    <t>2024-31</t>
  </si>
  <si>
    <t>Costo Totale (Netto IVA)</t>
  </si>
  <si>
    <t>Q. Disponibile</t>
  </si>
  <si>
    <t>Costo Tot. (Netto IVA)</t>
  </si>
  <si>
    <t>Prezzo di Vendita (IVA Inc.)</t>
  </si>
  <si>
    <t>Aliquota IVA %</t>
  </si>
  <si>
    <t>2024-32</t>
  </si>
  <si>
    <t>2024-33</t>
  </si>
  <si>
    <t>Margine T. (Netto IVA)</t>
  </si>
  <si>
    <t>tghj</t>
  </si>
  <si>
    <t>tghg</t>
  </si>
  <si>
    <t>2024-34</t>
  </si>
  <si>
    <t>vbnm</t>
  </si>
  <si>
    <t>dsd</t>
  </si>
  <si>
    <t>2024-35</t>
  </si>
  <si>
    <t>2024-36</t>
  </si>
  <si>
    <t>2024-37</t>
  </si>
  <si>
    <t>2024-38</t>
  </si>
  <si>
    <t>2024-39</t>
  </si>
  <si>
    <t>2024-40</t>
  </si>
  <si>
    <t>2024-41</t>
  </si>
  <si>
    <t>2024-42</t>
  </si>
  <si>
    <t>Q. Venduta</t>
  </si>
  <si>
    <t/>
  </si>
  <si>
    <t>2024-43</t>
  </si>
  <si>
    <t>2024-44</t>
  </si>
  <si>
    <t>dscasd</t>
  </si>
  <si>
    <t>aaaaa</t>
  </si>
  <si>
    <t>2024-45</t>
  </si>
  <si>
    <t>N. Vendite</t>
  </si>
  <si>
    <t>Il Più Ordinato</t>
  </si>
  <si>
    <t>Il Più Venduto (Q.)</t>
  </si>
  <si>
    <t>Il Più Profitevole</t>
  </si>
  <si>
    <t>test 1</t>
  </si>
  <si>
    <t>C:\Users\matte\Desktop\Gestione Magazino Excel\Archivio</t>
  </si>
  <si>
    <t>p. di questo file</t>
  </si>
  <si>
    <t>2025-1</t>
  </si>
  <si>
    <t>ID Ordine</t>
  </si>
  <si>
    <t>Data Prossimo Pagamento</t>
  </si>
  <si>
    <t>Ultimo controllo in data</t>
  </si>
  <si>
    <t>Ricavi Tot.</t>
  </si>
  <si>
    <t>Ricavi</t>
  </si>
  <si>
    <t>ID Prodotto</t>
  </si>
  <si>
    <t>Valore: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</si>
</sst>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yyyy\-mm\-dd;@"/>
    <numFmt numFmtId="166" formatCode="_-* #,##0\ &quot;€&quot;_-;\-* #,##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165" fontId="0" fillId="0" borderId="0" xfId="0" applyNumberFormat="1"/>
    <xf numFmtId="0" fontId="2" fillId="3" borderId="0" xfId="0" applyFont="1" applyFill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0" xfId="0" applyFont="1" applyFill="1"/>
    <xf numFmtId="0" fontId="4" fillId="0" borderId="0" xfId="0" applyFont="1"/>
    <xf numFmtId="0" fontId="0" fillId="0" borderId="5" xfId="0" applyBorder="1"/>
    <xf numFmtId="0" fontId="0" fillId="0" borderId="6" xfId="0" applyBorder="1"/>
    <xf numFmtId="164" fontId="0" fillId="0" borderId="0" xfId="1" applyFont="1"/>
    <xf numFmtId="9" fontId="2" fillId="3" borderId="0" xfId="2" applyFont="1" applyFill="1" applyAlignment="1">
      <alignment horizontal="center" vertical="center"/>
    </xf>
    <xf numFmtId="9" fontId="0" fillId="0" borderId="0" xfId="2" applyFont="1"/>
    <xf numFmtId="166" fontId="0" fillId="0" borderId="0" xfId="0" applyNumberFormat="1"/>
    <xf numFmtId="9" fontId="0" fillId="2" borderId="5" xfId="2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66" fontId="0" fillId="2" borderId="5" xfId="1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right"/>
    </xf>
    <xf numFmtId="0" fontId="0" fillId="2" borderId="5" xfId="0" applyFill="1" applyBorder="1"/>
    <xf numFmtId="164" fontId="0" fillId="0" borderId="0" xfId="0" applyNumberFormat="1"/>
    <xf numFmtId="164" fontId="0" fillId="2" borderId="5" xfId="1" applyFont="1" applyFill="1" applyBorder="1"/>
    <xf numFmtId="0" fontId="8" fillId="0" borderId="0" xfId="0" applyFont="1"/>
    <xf numFmtId="10" fontId="8" fillId="0" borderId="0" xfId="0" applyNumberFormat="1" applyFont="1"/>
    <xf numFmtId="9" fontId="8" fillId="0" borderId="0" xfId="0" applyNumberFormat="1" applyFont="1"/>
    <xf numFmtId="44" fontId="2" fillId="3" borderId="0" xfId="1" applyNumberFormat="1" applyFont="1" applyFill="1" applyAlignment="1">
      <alignment horizontal="left" vertical="top"/>
    </xf>
    <xf numFmtId="44" fontId="2" fillId="3" borderId="0" xfId="1" applyNumberFormat="1" applyFont="1" applyFill="1" applyAlignment="1">
      <alignment horizontal="left" vertical="center"/>
    </xf>
    <xf numFmtId="44" fontId="0" fillId="0" borderId="0" xfId="1" applyNumberFormat="1" applyFont="1" applyFill="1"/>
    <xf numFmtId="44" fontId="0" fillId="0" borderId="0" xfId="1" applyNumberFormat="1" applyFont="1"/>
    <xf numFmtId="44" fontId="2" fillId="3" borderId="0" xfId="1" applyNumberFormat="1" applyFont="1" applyFill="1" applyAlignment="1">
      <alignment horizontal="center" vertical="center"/>
    </xf>
    <xf numFmtId="44" fontId="2" fillId="3" borderId="0" xfId="0" applyNumberFormat="1" applyFont="1" applyFill="1" applyAlignment="1">
      <alignment horizontal="left" vertical="center"/>
    </xf>
    <xf numFmtId="44" fontId="0" fillId="2" borderId="0" xfId="1" applyNumberFormat="1" applyFont="1" applyFill="1"/>
    <xf numFmtId="44" fontId="0" fillId="2" borderId="0" xfId="0" applyNumberFormat="1" applyFill="1"/>
    <xf numFmtId="44" fontId="2" fillId="3" borderId="0" xfId="0" applyNumberFormat="1" applyFont="1" applyFill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0" borderId="15" xfId="0" applyNumberFormat="1" applyBorder="1"/>
    <xf numFmtId="164" fontId="0" fillId="2" borderId="5" xfId="1" applyFont="1" applyFill="1" applyBorder="1" applyAlignment="1">
      <alignment horizontal="right" vertical="center"/>
    </xf>
    <xf numFmtId="14" fontId="0" fillId="0" borderId="0" xfId="0" applyNumberFormat="1"/>
    <xf numFmtId="14" fontId="8" fillId="0" borderId="0" xfId="0" applyNumberFormat="1" applyFont="1"/>
    <xf numFmtId="0" fontId="9" fillId="2" borderId="0" xfId="0" applyFont="1" applyFill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3">
    <cellStyle name="Normale" xfId="0" builtinId="0"/>
    <cellStyle name="Percentuale" xfId="2" builtinId="5"/>
    <cellStyle name="Valuta" xfId="1" builtinId="4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5</xdr:row>
          <xdr:rowOff>95250</xdr:rowOff>
        </xdr:from>
        <xdr:to>
          <xdr:col>3</xdr:col>
          <xdr:colOff>431800</xdr:colOff>
          <xdr:row>7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Applica Valuta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8C6B-FB67-464B-93D3-A3CC25013F4E}">
  <sheetPr codeName="Foglio7"/>
  <dimension ref="A1:D9"/>
  <sheetViews>
    <sheetView zoomScale="190" zoomScaleNormal="190" workbookViewId="0">
      <selection activeCell="C5" sqref="C5"/>
    </sheetView>
  </sheetViews>
  <sheetFormatPr defaultRowHeight="14.5" x14ac:dyDescent="0.35"/>
  <cols>
    <col min="1" max="1" width="22.90625" style="26" bestFit="1" customWidth="1"/>
    <col min="2" max="2" width="10.453125" style="26" bestFit="1" customWidth="1"/>
    <col min="3" max="3" width="8.7265625" style="26" customWidth="1"/>
    <col min="4" max="4" width="10.36328125" style="26" bestFit="1" customWidth="1"/>
    <col min="5" max="22" width="8.7265625" style="26" customWidth="1"/>
    <col min="23" max="16384" width="8.7265625" style="26"/>
  </cols>
  <sheetData>
    <row r="1" spans="1:4" x14ac:dyDescent="0.35">
      <c r="A1" s="26" t="s">
        <v>128</v>
      </c>
    </row>
    <row r="2" spans="1:4" x14ac:dyDescent="0.35">
      <c r="A2" s="26" t="s">
        <v>129</v>
      </c>
      <c r="B2" s="47"/>
    </row>
    <row r="3" spans="1:4" x14ac:dyDescent="0.35">
      <c r="A3" s="26" t="s">
        <v>130</v>
      </c>
      <c r="B3" s="48"/>
    </row>
    <row r="4" spans="1:4" x14ac:dyDescent="0.35">
      <c r="A4" s="49"/>
    </row>
    <row r="5" spans="1:4" x14ac:dyDescent="0.35">
      <c r="D5" s="28"/>
    </row>
    <row r="6" spans="1:4" x14ac:dyDescent="0.35">
      <c r="D6" s="27"/>
    </row>
    <row r="7" spans="1:4" x14ac:dyDescent="0.35">
      <c r="D7" s="28"/>
    </row>
    <row r="8" spans="1:4" x14ac:dyDescent="0.35">
      <c r="D8" s="27"/>
    </row>
    <row r="9" spans="1:4" x14ac:dyDescent="0.35">
      <c r="D9" s="28"/>
    </row>
  </sheetData>
  <sheetProtection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C1BC-6A62-4423-9AD6-42880B84A197}">
  <sheetPr codeName="Foglio4"/>
  <dimension ref="A3:E15"/>
  <sheetViews>
    <sheetView tabSelected="1" zoomScaleNormal="100" workbookViewId="0"/>
  </sheetViews>
  <sheetFormatPr defaultRowHeight="14.5" x14ac:dyDescent="0.35"/>
  <cols>
    <col min="3" max="3" width="9.90625" bestFit="1" customWidth="1"/>
  </cols>
  <sheetData>
    <row r="3" spans="1:5" x14ac:dyDescent="0.35">
      <c r="A3" s="6" t="s">
        <v>20</v>
      </c>
      <c r="B3" s="7"/>
    </row>
    <row r="4" spans="1:5" x14ac:dyDescent="0.35">
      <c r="A4" s="8" t="s">
        <v>21</v>
      </c>
      <c r="B4" s="9" t="str">
        <f>IF(A4=".","Punto",IF(A4=",","Virgola"))</f>
        <v>Virgola</v>
      </c>
    </row>
    <row r="6" spans="1:5" x14ac:dyDescent="0.35">
      <c r="A6" t="s">
        <v>24</v>
      </c>
      <c r="E6" t="s">
        <v>34</v>
      </c>
    </row>
    <row r="7" spans="1:5" x14ac:dyDescent="0.35">
      <c r="A7" s="14">
        <v>2.75</v>
      </c>
      <c r="C7" t="s">
        <v>32</v>
      </c>
      <c r="E7">
        <v>2</v>
      </c>
    </row>
    <row r="9" spans="1:5" x14ac:dyDescent="0.35">
      <c r="A9" t="s">
        <v>22</v>
      </c>
    </row>
    <row r="10" spans="1:5" x14ac:dyDescent="0.35">
      <c r="A10" t="s">
        <v>23</v>
      </c>
    </row>
    <row r="12" spans="1:5" x14ac:dyDescent="0.35">
      <c r="A12" s="11" t="s">
        <v>26</v>
      </c>
      <c r="D12" t="s">
        <v>9</v>
      </c>
      <c r="E12" t="s">
        <v>29</v>
      </c>
    </row>
    <row r="13" spans="1:5" x14ac:dyDescent="0.35">
      <c r="A13" s="50" t="s">
        <v>126</v>
      </c>
      <c r="B13" s="51"/>
      <c r="C13" s="13">
        <v>1</v>
      </c>
      <c r="D13" s="12"/>
      <c r="E13" s="12"/>
    </row>
    <row r="14" spans="1:5" x14ac:dyDescent="0.35">
      <c r="A14" s="50" t="s">
        <v>27</v>
      </c>
      <c r="B14" s="51"/>
      <c r="C14" s="13">
        <v>1</v>
      </c>
      <c r="D14" s="12" t="s">
        <v>124</v>
      </c>
      <c r="E14" s="12" t="s">
        <v>125</v>
      </c>
    </row>
    <row r="15" spans="1:5" x14ac:dyDescent="0.35">
      <c r="A15" s="50" t="s">
        <v>28</v>
      </c>
      <c r="B15" s="51"/>
      <c r="C15" s="13">
        <v>0</v>
      </c>
      <c r="D15" s="12"/>
      <c r="E15" s="12"/>
    </row>
  </sheetData>
  <sheetProtection selectLockedCells="1" selectUnlockedCells="1"/>
  <mergeCells count="3">
    <mergeCell ref="A13:B13"/>
    <mergeCell ref="A14:B14"/>
    <mergeCell ref="A15:B15"/>
  </mergeCells>
  <phoneticPr fontId="1" type="noConversion"/>
  <dataValidations count="2">
    <dataValidation type="list" allowBlank="1" showInputMessage="1" showErrorMessage="1" sqref="A4" xr:uid="{3894A717-9F4B-4B7C-9FCE-616DA44A360C}">
      <formula1>".,,"</formula1>
    </dataValidation>
    <dataValidation type="list" allowBlank="1" showInputMessage="1" showErrorMessage="1" sqref="A10" xr:uid="{4DAB847F-035B-4B9B-8C8C-B668C62FF681}">
      <formula1>"FIFO,LIFO,Average"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icaValuta">
                <anchor moveWithCells="1" sizeWithCells="1">
                  <from>
                    <xdr:col>1</xdr:col>
                    <xdr:colOff>590550</xdr:colOff>
                    <xdr:row>5</xdr:row>
                    <xdr:rowOff>95250</xdr:rowOff>
                  </from>
                  <to>
                    <xdr:col>3</xdr:col>
                    <xdr:colOff>431800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51"/>
  <sheetViews>
    <sheetView zoomScaleNormal="100" workbookViewId="0">
      <pane ySplit="1" topLeftCell="A48" activePane="bottomLeft" state="frozen"/>
      <selection pane="bottomLeft"/>
    </sheetView>
  </sheetViews>
  <sheetFormatPr defaultRowHeight="14.5" x14ac:dyDescent="0.35"/>
  <cols>
    <col min="1" max="1" width="10.90625" customWidth="1"/>
    <col min="2" max="2" width="10.54296875" style="2" bestFit="1" customWidth="1"/>
    <col min="4" max="4" width="9.90625" customWidth="1"/>
    <col min="8" max="8" width="21.54296875" customWidth="1"/>
    <col min="12" max="12" width="13.36328125" style="2" bestFit="1" customWidth="1"/>
    <col min="13" max="13" width="10.08984375" bestFit="1" customWidth="1"/>
    <col min="14" max="14" width="14.26953125" style="31" customWidth="1"/>
    <col min="15" max="15" width="11.54296875" style="32" customWidth="1"/>
    <col min="16" max="16" width="11.26953125" style="32" bestFit="1" customWidth="1"/>
    <col min="17" max="17" width="11" style="32" bestFit="1" customWidth="1"/>
    <col min="18" max="18" width="8.7265625" style="16"/>
    <col min="19" max="19" width="11" style="32" bestFit="1" customWidth="1"/>
    <col min="20" max="21" width="8.7265625" style="32"/>
  </cols>
  <sheetData>
    <row r="1" spans="1:21" s="3" customFormat="1" x14ac:dyDescent="0.35">
      <c r="A1" s="3" t="s">
        <v>3</v>
      </c>
      <c r="B1" s="4" t="s">
        <v>0</v>
      </c>
      <c r="C1" s="3" t="s">
        <v>4</v>
      </c>
      <c r="D1" s="3" t="s">
        <v>1</v>
      </c>
      <c r="E1" s="3" t="s">
        <v>16</v>
      </c>
      <c r="F1" s="3" t="s">
        <v>9</v>
      </c>
      <c r="G1" s="3" t="s">
        <v>2</v>
      </c>
      <c r="H1" s="3" t="s">
        <v>5</v>
      </c>
      <c r="I1" s="3" t="s">
        <v>6</v>
      </c>
      <c r="J1" s="3" t="s">
        <v>7</v>
      </c>
      <c r="K1" s="3" t="s">
        <v>8</v>
      </c>
      <c r="L1" s="4" t="s">
        <v>18</v>
      </c>
      <c r="M1" s="5" t="s">
        <v>19</v>
      </c>
      <c r="N1" s="29" t="s">
        <v>64</v>
      </c>
      <c r="O1" s="30" t="s">
        <v>65</v>
      </c>
      <c r="P1" s="30" t="s">
        <v>40</v>
      </c>
      <c r="Q1" s="30" t="s">
        <v>41</v>
      </c>
      <c r="R1" s="15" t="s">
        <v>33</v>
      </c>
      <c r="S1" s="33" t="s">
        <v>35</v>
      </c>
      <c r="T1" s="33" t="s">
        <v>36</v>
      </c>
      <c r="U1" s="30" t="s">
        <v>99</v>
      </c>
    </row>
    <row r="2" spans="1:21" x14ac:dyDescent="0.35">
      <c r="A2" t="s">
        <v>66</v>
      </c>
      <c r="B2" s="2">
        <v>45646</v>
      </c>
      <c r="C2" t="s">
        <v>15</v>
      </c>
      <c r="D2" t="s">
        <v>67</v>
      </c>
      <c r="E2">
        <v>1</v>
      </c>
      <c r="F2" t="s">
        <v>30</v>
      </c>
      <c r="G2">
        <v>10</v>
      </c>
      <c r="I2">
        <v>2024</v>
      </c>
      <c r="J2">
        <v>12</v>
      </c>
      <c r="K2">
        <v>20</v>
      </c>
      <c r="L2" s="2">
        <v>45646</v>
      </c>
      <c r="N2" s="31">
        <v>30</v>
      </c>
      <c r="O2" s="32">
        <v>3</v>
      </c>
      <c r="P2" s="32">
        <v>3</v>
      </c>
      <c r="Q2" s="32">
        <v>30</v>
      </c>
      <c r="U2" s="32" t="s">
        <v>114</v>
      </c>
    </row>
    <row r="3" spans="1:21" x14ac:dyDescent="0.35">
      <c r="A3" t="s">
        <v>68</v>
      </c>
      <c r="B3" s="2">
        <v>45646</v>
      </c>
      <c r="C3" t="s">
        <v>37</v>
      </c>
      <c r="D3" t="s">
        <v>69</v>
      </c>
      <c r="E3">
        <v>1</v>
      </c>
      <c r="F3" t="s">
        <v>30</v>
      </c>
      <c r="G3">
        <v>1</v>
      </c>
      <c r="I3">
        <v>2024</v>
      </c>
      <c r="J3">
        <v>12</v>
      </c>
      <c r="K3">
        <v>20</v>
      </c>
      <c r="L3" s="2">
        <v>45646</v>
      </c>
      <c r="N3" s="31">
        <v>50</v>
      </c>
      <c r="O3" s="32">
        <v>50</v>
      </c>
      <c r="P3" s="32">
        <v>3</v>
      </c>
      <c r="Q3" s="32">
        <v>3</v>
      </c>
      <c r="U3" s="32">
        <v>47</v>
      </c>
    </row>
    <row r="4" spans="1:21" x14ac:dyDescent="0.35">
      <c r="A4" t="s">
        <v>70</v>
      </c>
      <c r="B4" s="2">
        <v>45646</v>
      </c>
      <c r="C4" t="s">
        <v>37</v>
      </c>
      <c r="D4" t="s">
        <v>69</v>
      </c>
      <c r="E4">
        <v>1</v>
      </c>
      <c r="F4" t="s">
        <v>30</v>
      </c>
      <c r="G4">
        <v>1</v>
      </c>
      <c r="I4">
        <v>2024</v>
      </c>
      <c r="J4">
        <v>12</v>
      </c>
      <c r="K4">
        <v>20</v>
      </c>
      <c r="L4" s="2">
        <v>45646</v>
      </c>
      <c r="N4" s="31">
        <v>50</v>
      </c>
      <c r="O4" s="32">
        <v>50</v>
      </c>
      <c r="P4" s="32">
        <v>3</v>
      </c>
      <c r="Q4" s="32">
        <v>3</v>
      </c>
      <c r="R4" s="16">
        <v>0.22</v>
      </c>
      <c r="U4" s="32">
        <v>47</v>
      </c>
    </row>
    <row r="5" spans="1:21" x14ac:dyDescent="0.35">
      <c r="A5" t="s">
        <v>71</v>
      </c>
      <c r="B5" s="2">
        <v>45646</v>
      </c>
      <c r="C5" t="s">
        <v>37</v>
      </c>
      <c r="D5" t="s">
        <v>69</v>
      </c>
      <c r="E5">
        <v>1</v>
      </c>
      <c r="F5" t="s">
        <v>30</v>
      </c>
      <c r="G5">
        <v>1</v>
      </c>
      <c r="I5">
        <v>2024</v>
      </c>
      <c r="J5">
        <v>12</v>
      </c>
      <c r="K5">
        <v>20</v>
      </c>
      <c r="L5" s="2">
        <v>45646</v>
      </c>
      <c r="N5" s="31">
        <v>50</v>
      </c>
      <c r="O5" s="32">
        <v>50</v>
      </c>
      <c r="P5" s="32">
        <v>3</v>
      </c>
      <c r="Q5" s="32">
        <v>3</v>
      </c>
      <c r="R5" s="16">
        <v>0.22</v>
      </c>
      <c r="S5" s="32">
        <v>11</v>
      </c>
      <c r="T5" s="32">
        <v>11</v>
      </c>
      <c r="U5" s="32">
        <v>47</v>
      </c>
    </row>
    <row r="6" spans="1:21" x14ac:dyDescent="0.35">
      <c r="A6" t="s">
        <v>72</v>
      </c>
      <c r="B6" s="2">
        <v>45646</v>
      </c>
      <c r="C6" t="s">
        <v>15</v>
      </c>
      <c r="D6" t="s">
        <v>25</v>
      </c>
      <c r="E6">
        <v>2</v>
      </c>
      <c r="F6" t="s">
        <v>38</v>
      </c>
      <c r="G6">
        <v>10</v>
      </c>
      <c r="H6" t="s">
        <v>31</v>
      </c>
      <c r="I6">
        <v>2024</v>
      </c>
      <c r="J6">
        <v>12</v>
      </c>
      <c r="K6">
        <v>20</v>
      </c>
      <c r="L6" s="2">
        <v>45646</v>
      </c>
      <c r="N6" s="31">
        <v>20</v>
      </c>
      <c r="O6" s="32">
        <v>2</v>
      </c>
      <c r="P6" s="32">
        <v>2</v>
      </c>
      <c r="Q6" s="32">
        <v>20</v>
      </c>
      <c r="R6" s="16">
        <v>0.22</v>
      </c>
      <c r="S6" s="32">
        <v>4.4000000000000004</v>
      </c>
      <c r="T6" s="32">
        <v>0.44000000000000006</v>
      </c>
      <c r="U6" s="32" t="s">
        <v>114</v>
      </c>
    </row>
    <row r="7" spans="1:21" x14ac:dyDescent="0.35">
      <c r="A7" t="s">
        <v>73</v>
      </c>
      <c r="B7" s="2">
        <v>45646</v>
      </c>
      <c r="C7" t="s">
        <v>15</v>
      </c>
      <c r="D7" t="s">
        <v>67</v>
      </c>
      <c r="E7">
        <v>1</v>
      </c>
      <c r="F7" t="s">
        <v>30</v>
      </c>
      <c r="G7">
        <v>1</v>
      </c>
      <c r="I7">
        <v>2024</v>
      </c>
      <c r="J7">
        <v>12</v>
      </c>
      <c r="K7">
        <v>20</v>
      </c>
      <c r="L7" s="2">
        <v>45646</v>
      </c>
      <c r="N7" s="31">
        <v>10</v>
      </c>
      <c r="O7" s="32">
        <v>10</v>
      </c>
      <c r="P7" s="32">
        <v>3</v>
      </c>
      <c r="Q7" s="32">
        <v>3</v>
      </c>
      <c r="R7" s="16">
        <v>0</v>
      </c>
      <c r="S7" s="32">
        <v>0</v>
      </c>
      <c r="T7" s="32">
        <v>0</v>
      </c>
      <c r="U7" s="32" t="s">
        <v>114</v>
      </c>
    </row>
    <row r="8" spans="1:21" x14ac:dyDescent="0.35">
      <c r="A8" t="s">
        <v>74</v>
      </c>
      <c r="B8" s="2">
        <v>45646</v>
      </c>
      <c r="C8" t="s">
        <v>15</v>
      </c>
      <c r="D8" t="s">
        <v>67</v>
      </c>
      <c r="E8">
        <v>1</v>
      </c>
      <c r="F8" t="s">
        <v>30</v>
      </c>
      <c r="G8">
        <v>4</v>
      </c>
      <c r="I8">
        <v>2024</v>
      </c>
      <c r="J8">
        <v>12</v>
      </c>
      <c r="K8">
        <v>20</v>
      </c>
      <c r="L8" s="2">
        <v>45646</v>
      </c>
      <c r="N8" s="31">
        <v>20</v>
      </c>
      <c r="O8" s="32">
        <v>5</v>
      </c>
      <c r="P8" s="32">
        <v>3.875</v>
      </c>
      <c r="Q8" s="32">
        <v>15.5</v>
      </c>
      <c r="R8" s="16">
        <v>0</v>
      </c>
      <c r="S8" s="32">
        <v>0</v>
      </c>
      <c r="T8" s="32">
        <v>0</v>
      </c>
      <c r="U8" s="32" t="s">
        <v>114</v>
      </c>
    </row>
    <row r="9" spans="1:21" x14ac:dyDescent="0.35">
      <c r="A9" t="s">
        <v>75</v>
      </c>
      <c r="B9" s="2">
        <v>45646</v>
      </c>
      <c r="C9" t="s">
        <v>15</v>
      </c>
      <c r="D9" t="s">
        <v>67</v>
      </c>
      <c r="E9">
        <v>1</v>
      </c>
      <c r="F9" t="s">
        <v>30</v>
      </c>
      <c r="G9">
        <v>10</v>
      </c>
      <c r="I9">
        <v>2024</v>
      </c>
      <c r="J9">
        <v>12</v>
      </c>
      <c r="K9">
        <v>20</v>
      </c>
      <c r="L9" s="2">
        <v>45646</v>
      </c>
      <c r="N9" s="31">
        <v>100</v>
      </c>
      <c r="O9" s="32">
        <v>10</v>
      </c>
      <c r="P9" s="32">
        <v>4.25</v>
      </c>
      <c r="Q9" s="32">
        <v>42.5</v>
      </c>
      <c r="R9" s="16">
        <v>0</v>
      </c>
      <c r="S9" s="32">
        <v>0</v>
      </c>
      <c r="T9" s="32">
        <v>0</v>
      </c>
      <c r="U9" s="32" t="s">
        <v>114</v>
      </c>
    </row>
    <row r="10" spans="1:21" x14ac:dyDescent="0.35">
      <c r="A10" t="s">
        <v>76</v>
      </c>
      <c r="B10" s="2">
        <v>45646</v>
      </c>
      <c r="C10" t="s">
        <v>15</v>
      </c>
      <c r="D10" t="s">
        <v>67</v>
      </c>
      <c r="E10">
        <v>1</v>
      </c>
      <c r="F10" t="s">
        <v>30</v>
      </c>
      <c r="G10">
        <v>1</v>
      </c>
      <c r="I10">
        <v>2024</v>
      </c>
      <c r="J10">
        <v>12</v>
      </c>
      <c r="K10">
        <v>20</v>
      </c>
      <c r="L10" s="2">
        <v>45646</v>
      </c>
      <c r="N10" s="31">
        <v>1</v>
      </c>
      <c r="O10" s="32">
        <v>1</v>
      </c>
      <c r="P10" s="32">
        <v>6.8635999999999999</v>
      </c>
      <c r="Q10" s="32">
        <v>6.8635999999999999</v>
      </c>
      <c r="R10" s="16">
        <v>0</v>
      </c>
      <c r="S10" s="32">
        <v>0</v>
      </c>
      <c r="T10" s="32">
        <v>0</v>
      </c>
      <c r="U10" s="32" t="s">
        <v>114</v>
      </c>
    </row>
    <row r="11" spans="1:21" x14ac:dyDescent="0.35">
      <c r="A11" t="s">
        <v>77</v>
      </c>
      <c r="B11" s="2">
        <v>45646</v>
      </c>
      <c r="C11" t="s">
        <v>15</v>
      </c>
      <c r="D11" t="s">
        <v>67</v>
      </c>
      <c r="E11">
        <v>1</v>
      </c>
      <c r="F11" t="s">
        <v>30</v>
      </c>
      <c r="G11">
        <v>10</v>
      </c>
      <c r="I11">
        <v>2024</v>
      </c>
      <c r="J11">
        <v>12</v>
      </c>
      <c r="K11">
        <v>20</v>
      </c>
      <c r="L11" s="2">
        <v>45646</v>
      </c>
      <c r="N11" s="31">
        <v>100</v>
      </c>
      <c r="O11" s="32">
        <v>10</v>
      </c>
      <c r="P11" s="32">
        <v>6.6086999999999998</v>
      </c>
      <c r="Q11" s="32">
        <v>66.087000000000003</v>
      </c>
      <c r="R11" s="16">
        <v>0</v>
      </c>
      <c r="S11" s="32">
        <v>0</v>
      </c>
      <c r="T11" s="32">
        <v>0</v>
      </c>
      <c r="U11" s="32" t="s">
        <v>114</v>
      </c>
    </row>
    <row r="12" spans="1:21" x14ac:dyDescent="0.35">
      <c r="A12" t="s">
        <v>78</v>
      </c>
      <c r="B12" s="2">
        <v>45646</v>
      </c>
      <c r="C12" t="s">
        <v>15</v>
      </c>
      <c r="D12" t="s">
        <v>67</v>
      </c>
      <c r="E12">
        <v>1</v>
      </c>
      <c r="F12" t="s">
        <v>30</v>
      </c>
      <c r="G12">
        <v>10</v>
      </c>
      <c r="I12">
        <v>2024</v>
      </c>
      <c r="J12">
        <v>12</v>
      </c>
      <c r="K12">
        <v>20</v>
      </c>
      <c r="L12" s="2">
        <v>45646</v>
      </c>
      <c r="N12" s="31">
        <v>100</v>
      </c>
      <c r="O12" s="32">
        <v>10</v>
      </c>
      <c r="P12" s="32">
        <v>7.6364000000000001</v>
      </c>
      <c r="Q12" s="32">
        <v>76.364000000000004</v>
      </c>
      <c r="R12" s="16">
        <v>0.22</v>
      </c>
      <c r="S12" s="32">
        <v>22</v>
      </c>
      <c r="T12" s="32">
        <v>2.2000000000000002</v>
      </c>
      <c r="U12" s="32" t="s">
        <v>114</v>
      </c>
    </row>
    <row r="13" spans="1:21" x14ac:dyDescent="0.35">
      <c r="A13" t="s">
        <v>79</v>
      </c>
      <c r="B13" s="2">
        <v>45646</v>
      </c>
      <c r="C13" t="s">
        <v>15</v>
      </c>
      <c r="D13" t="s">
        <v>67</v>
      </c>
      <c r="E13">
        <v>1</v>
      </c>
      <c r="F13" t="s">
        <v>30</v>
      </c>
      <c r="G13">
        <v>10</v>
      </c>
      <c r="I13">
        <v>2024</v>
      </c>
      <c r="J13">
        <v>12</v>
      </c>
      <c r="K13">
        <v>20</v>
      </c>
      <c r="L13" s="2">
        <v>45646</v>
      </c>
      <c r="N13" s="31">
        <v>81.97</v>
      </c>
      <c r="O13" s="32">
        <v>8.1969999999999992</v>
      </c>
      <c r="P13" s="32">
        <v>8.1859999999999999</v>
      </c>
      <c r="Q13" s="32">
        <v>81.86</v>
      </c>
      <c r="R13" s="16">
        <v>0.22</v>
      </c>
      <c r="S13" s="32">
        <v>18.03</v>
      </c>
      <c r="T13" s="32">
        <v>1.8030000000000002</v>
      </c>
      <c r="U13" s="32" t="s">
        <v>114</v>
      </c>
    </row>
    <row r="14" spans="1:21" x14ac:dyDescent="0.35">
      <c r="A14" t="s">
        <v>80</v>
      </c>
      <c r="B14" s="2">
        <v>45646</v>
      </c>
      <c r="C14" t="s">
        <v>37</v>
      </c>
      <c r="D14" t="s">
        <v>69</v>
      </c>
      <c r="E14">
        <v>1</v>
      </c>
      <c r="F14" t="s">
        <v>30</v>
      </c>
      <c r="G14">
        <v>1</v>
      </c>
      <c r="I14">
        <v>2024</v>
      </c>
      <c r="J14">
        <v>12</v>
      </c>
      <c r="K14">
        <v>20</v>
      </c>
      <c r="L14" s="2">
        <v>45646</v>
      </c>
      <c r="N14" s="31">
        <v>50</v>
      </c>
      <c r="O14" s="32">
        <v>50</v>
      </c>
      <c r="P14" s="32">
        <v>8.1881000000000004</v>
      </c>
      <c r="Q14" s="32">
        <v>8.1881000000000004</v>
      </c>
      <c r="R14" s="16">
        <v>0.22</v>
      </c>
      <c r="S14" s="32">
        <v>11</v>
      </c>
      <c r="T14" s="32">
        <v>11</v>
      </c>
      <c r="U14" s="32">
        <v>41.811900000000001</v>
      </c>
    </row>
    <row r="15" spans="1:21" x14ac:dyDescent="0.35">
      <c r="A15" t="s">
        <v>81</v>
      </c>
      <c r="B15" s="2">
        <v>45646</v>
      </c>
      <c r="C15" t="s">
        <v>37</v>
      </c>
      <c r="D15" t="s">
        <v>69</v>
      </c>
      <c r="E15">
        <v>1</v>
      </c>
      <c r="F15" t="s">
        <v>30</v>
      </c>
      <c r="G15">
        <v>1</v>
      </c>
      <c r="I15">
        <v>2024</v>
      </c>
      <c r="J15">
        <v>12</v>
      </c>
      <c r="K15">
        <v>20</v>
      </c>
      <c r="L15" s="2">
        <v>45646</v>
      </c>
      <c r="N15" s="31">
        <v>40.98</v>
      </c>
      <c r="O15" s="32">
        <v>40.98</v>
      </c>
      <c r="P15" s="32">
        <v>8.1881000000000004</v>
      </c>
      <c r="Q15" s="32">
        <v>8.1881000000000004</v>
      </c>
      <c r="R15" s="16">
        <v>0.22</v>
      </c>
      <c r="S15" s="32">
        <v>9.02</v>
      </c>
      <c r="T15" s="32">
        <v>9.02</v>
      </c>
      <c r="U15" s="32">
        <v>32.791899999999998</v>
      </c>
    </row>
    <row r="16" spans="1:21" x14ac:dyDescent="0.35">
      <c r="A16" t="s">
        <v>82</v>
      </c>
      <c r="B16" s="2">
        <v>45646</v>
      </c>
      <c r="C16" t="s">
        <v>37</v>
      </c>
      <c r="D16" t="s">
        <v>69</v>
      </c>
      <c r="E16">
        <v>1</v>
      </c>
      <c r="F16" t="s">
        <v>30</v>
      </c>
      <c r="G16">
        <v>2</v>
      </c>
      <c r="I16">
        <v>2024</v>
      </c>
      <c r="J16">
        <v>12</v>
      </c>
      <c r="K16">
        <v>20</v>
      </c>
      <c r="L16" s="2">
        <v>45646</v>
      </c>
      <c r="N16" s="31">
        <v>100</v>
      </c>
      <c r="O16" s="32">
        <v>50</v>
      </c>
      <c r="P16" s="32">
        <v>8.1881000000000004</v>
      </c>
      <c r="Q16" s="32">
        <v>16.376200000000001</v>
      </c>
      <c r="R16" s="16">
        <v>0.22</v>
      </c>
      <c r="S16" s="32">
        <v>22</v>
      </c>
      <c r="T16" s="32">
        <v>11</v>
      </c>
      <c r="U16" s="32">
        <v>83.623800000000003</v>
      </c>
    </row>
    <row r="17" spans="1:21" x14ac:dyDescent="0.35">
      <c r="A17" t="s">
        <v>83</v>
      </c>
      <c r="B17" s="2">
        <v>45646</v>
      </c>
      <c r="C17" t="s">
        <v>37</v>
      </c>
      <c r="D17" t="s">
        <v>69</v>
      </c>
      <c r="E17">
        <v>1</v>
      </c>
      <c r="F17" t="s">
        <v>30</v>
      </c>
      <c r="G17">
        <v>1</v>
      </c>
      <c r="I17">
        <v>2024</v>
      </c>
      <c r="J17">
        <v>12</v>
      </c>
      <c r="K17">
        <v>20</v>
      </c>
      <c r="L17" s="2">
        <v>45646</v>
      </c>
      <c r="N17" s="31">
        <v>40.98</v>
      </c>
      <c r="O17" s="32">
        <v>40.98</v>
      </c>
      <c r="P17" s="32">
        <v>8.1881000000000004</v>
      </c>
      <c r="Q17" s="32">
        <v>8.1881000000000004</v>
      </c>
      <c r="R17" s="16">
        <v>0.22</v>
      </c>
      <c r="S17" s="32">
        <v>9.02</v>
      </c>
      <c r="T17" s="32">
        <v>9.02</v>
      </c>
      <c r="U17" s="32">
        <v>32.791899999999998</v>
      </c>
    </row>
    <row r="18" spans="1:21" x14ac:dyDescent="0.35">
      <c r="A18" t="s">
        <v>84</v>
      </c>
      <c r="B18" s="2">
        <v>45646</v>
      </c>
      <c r="C18" t="s">
        <v>37</v>
      </c>
      <c r="D18" t="s">
        <v>69</v>
      </c>
      <c r="E18">
        <v>1</v>
      </c>
      <c r="F18" t="s">
        <v>30</v>
      </c>
      <c r="G18">
        <v>1</v>
      </c>
      <c r="I18">
        <v>2024</v>
      </c>
      <c r="J18">
        <v>12</v>
      </c>
      <c r="K18">
        <v>20</v>
      </c>
      <c r="L18" s="2">
        <v>45646</v>
      </c>
      <c r="N18" s="31">
        <v>50</v>
      </c>
      <c r="O18" s="32">
        <v>50</v>
      </c>
      <c r="P18" s="32">
        <v>8.1881000000000004</v>
      </c>
      <c r="Q18" s="32">
        <v>8.1881000000000004</v>
      </c>
      <c r="R18" s="16">
        <v>0.22</v>
      </c>
      <c r="S18" s="32">
        <v>11</v>
      </c>
      <c r="T18" s="32">
        <v>11</v>
      </c>
      <c r="U18" s="32">
        <v>41.811900000000001</v>
      </c>
    </row>
    <row r="19" spans="1:21" x14ac:dyDescent="0.35">
      <c r="A19" t="s">
        <v>85</v>
      </c>
      <c r="B19" s="2">
        <v>45646</v>
      </c>
      <c r="C19" t="s">
        <v>37</v>
      </c>
      <c r="D19" t="s">
        <v>69</v>
      </c>
      <c r="E19">
        <v>1</v>
      </c>
      <c r="F19" t="s">
        <v>30</v>
      </c>
      <c r="G19">
        <v>2</v>
      </c>
      <c r="I19">
        <v>2024</v>
      </c>
      <c r="J19">
        <v>12</v>
      </c>
      <c r="K19">
        <v>20</v>
      </c>
      <c r="L19" s="2">
        <v>45646</v>
      </c>
      <c r="N19" s="31">
        <v>81.97</v>
      </c>
      <c r="O19" s="32">
        <v>40.984999999999999</v>
      </c>
      <c r="P19" s="32">
        <v>8.1881000000000004</v>
      </c>
      <c r="Q19" s="32">
        <v>16.376200000000001</v>
      </c>
      <c r="R19" s="16">
        <v>0.22</v>
      </c>
      <c r="S19" s="32">
        <v>18.03</v>
      </c>
      <c r="T19" s="32">
        <v>9.0150000000000006</v>
      </c>
      <c r="U19" s="32">
        <v>65.593800000000002</v>
      </c>
    </row>
    <row r="20" spans="1:21" x14ac:dyDescent="0.35">
      <c r="A20" t="s">
        <v>42</v>
      </c>
      <c r="B20" s="2">
        <v>45646</v>
      </c>
      <c r="C20" t="s">
        <v>15</v>
      </c>
      <c r="D20" t="s">
        <v>25</v>
      </c>
      <c r="E20" t="s">
        <v>44</v>
      </c>
      <c r="F20" t="s">
        <v>44</v>
      </c>
      <c r="G20">
        <v>1</v>
      </c>
      <c r="H20" t="s">
        <v>31</v>
      </c>
      <c r="I20">
        <v>2024</v>
      </c>
      <c r="J20">
        <v>12</v>
      </c>
      <c r="K20">
        <v>20</v>
      </c>
      <c r="L20" s="2">
        <v>45646</v>
      </c>
      <c r="N20" s="31">
        <v>30</v>
      </c>
      <c r="O20" s="32">
        <v>30</v>
      </c>
      <c r="P20" s="32">
        <v>30</v>
      </c>
      <c r="Q20" s="32">
        <v>30</v>
      </c>
      <c r="R20" s="16">
        <v>0.22</v>
      </c>
      <c r="S20" s="32">
        <v>6.6</v>
      </c>
      <c r="T20" s="32">
        <v>6.6</v>
      </c>
      <c r="U20" s="32" t="s">
        <v>114</v>
      </c>
    </row>
    <row r="21" spans="1:21" x14ac:dyDescent="0.35">
      <c r="A21" t="s">
        <v>43</v>
      </c>
      <c r="B21" s="2">
        <v>45646</v>
      </c>
      <c r="C21" t="s">
        <v>15</v>
      </c>
      <c r="D21" t="s">
        <v>25</v>
      </c>
      <c r="E21" t="s">
        <v>45</v>
      </c>
      <c r="F21" t="s">
        <v>46</v>
      </c>
      <c r="G21">
        <v>10</v>
      </c>
      <c r="H21" t="s">
        <v>31</v>
      </c>
      <c r="I21">
        <v>2024</v>
      </c>
      <c r="J21">
        <v>12</v>
      </c>
      <c r="K21">
        <v>20</v>
      </c>
      <c r="L21" s="2">
        <v>45646</v>
      </c>
      <c r="N21" s="31">
        <v>300</v>
      </c>
      <c r="O21" s="32">
        <v>30</v>
      </c>
      <c r="P21" s="32">
        <v>30</v>
      </c>
      <c r="Q21" s="32">
        <v>300</v>
      </c>
      <c r="R21" s="16">
        <v>0.22</v>
      </c>
      <c r="S21" s="32">
        <v>66</v>
      </c>
      <c r="T21" s="32">
        <v>6.6</v>
      </c>
      <c r="U21" s="32" t="s">
        <v>114</v>
      </c>
    </row>
    <row r="22" spans="1:21" x14ac:dyDescent="0.35">
      <c r="A22" t="s">
        <v>48</v>
      </c>
      <c r="B22" s="2">
        <v>45646</v>
      </c>
      <c r="C22" t="s">
        <v>15</v>
      </c>
      <c r="D22" t="s">
        <v>25</v>
      </c>
      <c r="E22" t="s">
        <v>47</v>
      </c>
      <c r="F22" t="s">
        <v>47</v>
      </c>
      <c r="G22">
        <v>12</v>
      </c>
      <c r="H22" t="s">
        <v>31</v>
      </c>
      <c r="I22">
        <v>2024</v>
      </c>
      <c r="J22">
        <v>12</v>
      </c>
      <c r="K22">
        <v>20</v>
      </c>
      <c r="L22" s="2">
        <v>45646</v>
      </c>
      <c r="N22" s="31">
        <v>81.97</v>
      </c>
      <c r="O22" s="32">
        <v>6.8308333333333335</v>
      </c>
      <c r="P22" s="32">
        <v>6.8308333333333335</v>
      </c>
      <c r="Q22" s="32">
        <v>81.97</v>
      </c>
      <c r="R22" s="16">
        <v>0.22</v>
      </c>
      <c r="S22" s="32">
        <v>18.03</v>
      </c>
      <c r="T22" s="32">
        <v>1.5025000000000002</v>
      </c>
      <c r="U22" s="32" t="s">
        <v>114</v>
      </c>
    </row>
    <row r="23" spans="1:21" x14ac:dyDescent="0.35">
      <c r="A23" t="s">
        <v>54</v>
      </c>
      <c r="B23" s="2">
        <v>45646</v>
      </c>
      <c r="C23" t="s">
        <v>15</v>
      </c>
      <c r="D23" t="s">
        <v>25</v>
      </c>
      <c r="E23" t="s">
        <v>52</v>
      </c>
      <c r="F23" t="s">
        <v>53</v>
      </c>
      <c r="G23">
        <v>1</v>
      </c>
      <c r="H23" t="s">
        <v>31</v>
      </c>
      <c r="I23">
        <v>2024</v>
      </c>
      <c r="J23">
        <v>12</v>
      </c>
      <c r="K23">
        <v>20</v>
      </c>
      <c r="L23" s="2">
        <v>45646</v>
      </c>
      <c r="N23" s="31">
        <v>30</v>
      </c>
      <c r="O23" s="32">
        <v>30</v>
      </c>
      <c r="P23" s="32">
        <v>30</v>
      </c>
      <c r="Q23" s="32">
        <v>30</v>
      </c>
      <c r="R23" s="16">
        <v>0.05</v>
      </c>
      <c r="S23" s="32">
        <v>1.5</v>
      </c>
      <c r="T23" s="32">
        <v>1.5</v>
      </c>
      <c r="U23" s="32" t="s">
        <v>114</v>
      </c>
    </row>
    <row r="24" spans="1:21" x14ac:dyDescent="0.35">
      <c r="A24" t="s">
        <v>86</v>
      </c>
      <c r="B24" s="2">
        <v>45646</v>
      </c>
      <c r="C24" t="s">
        <v>37</v>
      </c>
      <c r="D24" t="s">
        <v>69</v>
      </c>
      <c r="E24">
        <v>1</v>
      </c>
      <c r="F24" t="s">
        <v>30</v>
      </c>
      <c r="G24">
        <v>1</v>
      </c>
      <c r="I24">
        <v>2024</v>
      </c>
      <c r="J24">
        <v>12</v>
      </c>
      <c r="K24">
        <v>20</v>
      </c>
      <c r="L24" s="2">
        <v>45646</v>
      </c>
      <c r="N24" s="31">
        <v>41.15</v>
      </c>
      <c r="O24" s="32">
        <v>41.15</v>
      </c>
      <c r="P24" s="32">
        <v>8.1881000000000004</v>
      </c>
      <c r="Q24" s="32">
        <v>8.1881000000000004</v>
      </c>
      <c r="R24" s="16">
        <v>0.22</v>
      </c>
      <c r="S24" s="32">
        <v>9.0500000000000007</v>
      </c>
      <c r="T24" s="32">
        <v>9.0500000000000007</v>
      </c>
      <c r="U24" s="32">
        <v>32.9619</v>
      </c>
    </row>
    <row r="25" spans="1:21" x14ac:dyDescent="0.35">
      <c r="A25" t="s">
        <v>87</v>
      </c>
      <c r="B25" s="2">
        <v>45646</v>
      </c>
      <c r="C25" t="s">
        <v>37</v>
      </c>
      <c r="D25" t="s">
        <v>69</v>
      </c>
      <c r="E25">
        <v>1</v>
      </c>
      <c r="F25" t="s">
        <v>30</v>
      </c>
      <c r="G25">
        <v>3</v>
      </c>
      <c r="I25">
        <v>2024</v>
      </c>
      <c r="J25">
        <v>12</v>
      </c>
      <c r="K25">
        <v>20</v>
      </c>
      <c r="L25" s="2">
        <v>45646</v>
      </c>
      <c r="N25" s="31">
        <v>122.65</v>
      </c>
      <c r="O25" s="32">
        <v>40.883333333333333</v>
      </c>
      <c r="P25" s="32">
        <v>8.1881000000000004</v>
      </c>
      <c r="Q25" s="32">
        <v>24.564300000000003</v>
      </c>
      <c r="R25" s="16">
        <v>2.23</v>
      </c>
      <c r="S25" s="32">
        <v>273.51</v>
      </c>
      <c r="T25" s="32">
        <v>91.17</v>
      </c>
      <c r="U25" s="32">
        <v>98.085700000000003</v>
      </c>
    </row>
    <row r="26" spans="1:21" x14ac:dyDescent="0.35">
      <c r="A26" t="s">
        <v>88</v>
      </c>
      <c r="B26" s="2">
        <v>45646</v>
      </c>
      <c r="C26" t="s">
        <v>37</v>
      </c>
      <c r="D26" t="s">
        <v>69</v>
      </c>
      <c r="E26">
        <v>1</v>
      </c>
      <c r="F26" t="s">
        <v>30</v>
      </c>
      <c r="G26">
        <v>1</v>
      </c>
      <c r="I26">
        <v>2024</v>
      </c>
      <c r="J26">
        <v>12</v>
      </c>
      <c r="K26">
        <v>20</v>
      </c>
      <c r="L26" s="2">
        <v>45646</v>
      </c>
      <c r="N26" s="31">
        <v>40.880000000000003</v>
      </c>
      <c r="O26" s="32">
        <v>40.880000000000003</v>
      </c>
      <c r="P26" s="32">
        <v>8.1881000000000004</v>
      </c>
      <c r="Q26" s="32">
        <v>8.1881000000000004</v>
      </c>
      <c r="R26" s="16">
        <v>0.223</v>
      </c>
      <c r="S26" s="32">
        <v>9.1199999999999992</v>
      </c>
      <c r="T26" s="32">
        <v>9.1199999999999992</v>
      </c>
      <c r="U26" s="32">
        <v>32.691900000000004</v>
      </c>
    </row>
    <row r="27" spans="1:21" x14ac:dyDescent="0.35">
      <c r="A27" t="s">
        <v>89</v>
      </c>
      <c r="B27" s="2">
        <v>45646</v>
      </c>
      <c r="C27" t="s">
        <v>37</v>
      </c>
      <c r="D27" t="s">
        <v>69</v>
      </c>
      <c r="E27">
        <v>1</v>
      </c>
      <c r="F27" t="s">
        <v>30</v>
      </c>
      <c r="G27">
        <v>1</v>
      </c>
      <c r="I27">
        <v>2024</v>
      </c>
      <c r="J27">
        <v>12</v>
      </c>
      <c r="K27">
        <v>20</v>
      </c>
      <c r="L27" s="2">
        <v>45646</v>
      </c>
      <c r="N27" s="31">
        <v>40.869999999999997</v>
      </c>
      <c r="O27" s="32">
        <v>40.869999999999997</v>
      </c>
      <c r="P27" s="32">
        <v>8.1881000000000004</v>
      </c>
      <c r="Q27" s="32">
        <v>8.1881000000000004</v>
      </c>
      <c r="R27" s="16">
        <v>0.22329999999999997</v>
      </c>
      <c r="S27" s="32">
        <v>9.1300000000000008</v>
      </c>
      <c r="T27" s="32">
        <v>9.1300000000000008</v>
      </c>
      <c r="U27" s="32">
        <v>32.681899999999999</v>
      </c>
    </row>
    <row r="28" spans="1:21" x14ac:dyDescent="0.35">
      <c r="A28" t="s">
        <v>57</v>
      </c>
      <c r="B28" s="2">
        <v>45646</v>
      </c>
      <c r="C28" t="s">
        <v>15</v>
      </c>
      <c r="D28" t="s">
        <v>25</v>
      </c>
      <c r="E28" t="s">
        <v>55</v>
      </c>
      <c r="F28" t="s">
        <v>56</v>
      </c>
      <c r="G28">
        <v>1</v>
      </c>
      <c r="H28" t="s">
        <v>31</v>
      </c>
      <c r="I28">
        <v>2024</v>
      </c>
      <c r="J28">
        <v>12</v>
      </c>
      <c r="K28">
        <v>20</v>
      </c>
      <c r="L28" s="2">
        <v>45646</v>
      </c>
      <c r="N28" s="31">
        <v>3</v>
      </c>
      <c r="O28" s="32">
        <v>3</v>
      </c>
      <c r="P28" s="32">
        <v>3</v>
      </c>
      <c r="Q28" s="32">
        <v>3</v>
      </c>
      <c r="R28" s="16">
        <v>0.10099999999999999</v>
      </c>
      <c r="S28" s="32">
        <v>0.3</v>
      </c>
      <c r="T28" s="32">
        <v>0.3</v>
      </c>
      <c r="U28" s="32" t="s">
        <v>114</v>
      </c>
    </row>
    <row r="29" spans="1:21" x14ac:dyDescent="0.35">
      <c r="A29" t="s">
        <v>60</v>
      </c>
      <c r="B29" s="2">
        <v>45646</v>
      </c>
      <c r="C29" t="s">
        <v>15</v>
      </c>
      <c r="D29" t="s">
        <v>25</v>
      </c>
      <c r="E29" t="s">
        <v>58</v>
      </c>
      <c r="F29" t="s">
        <v>59</v>
      </c>
      <c r="G29">
        <v>1</v>
      </c>
      <c r="H29" t="s">
        <v>31</v>
      </c>
      <c r="I29">
        <v>2024</v>
      </c>
      <c r="J29">
        <v>12</v>
      </c>
      <c r="K29">
        <v>20</v>
      </c>
      <c r="L29" s="2">
        <v>45646</v>
      </c>
      <c r="N29" s="31">
        <v>1</v>
      </c>
      <c r="O29" s="32">
        <v>1</v>
      </c>
      <c r="P29" s="32">
        <v>1</v>
      </c>
      <c r="Q29" s="32">
        <v>1</v>
      </c>
      <c r="R29" s="16">
        <v>0.14300000000000002</v>
      </c>
      <c r="S29" s="32">
        <v>0.14000000000000001</v>
      </c>
      <c r="T29" s="32">
        <v>0.14000000000000001</v>
      </c>
      <c r="U29" s="32" t="s">
        <v>114</v>
      </c>
    </row>
    <row r="30" spans="1:21" x14ac:dyDescent="0.35">
      <c r="A30" t="s">
        <v>62</v>
      </c>
      <c r="B30" s="2">
        <v>45646</v>
      </c>
      <c r="C30" t="s">
        <v>15</v>
      </c>
      <c r="D30" t="s">
        <v>25</v>
      </c>
      <c r="E30" t="s">
        <v>61</v>
      </c>
      <c r="F30" t="s">
        <v>61</v>
      </c>
      <c r="G30">
        <v>1</v>
      </c>
      <c r="H30" t="s">
        <v>31</v>
      </c>
      <c r="I30">
        <v>2024</v>
      </c>
      <c r="J30">
        <v>12</v>
      </c>
      <c r="K30">
        <v>20</v>
      </c>
      <c r="L30" s="2">
        <v>45646</v>
      </c>
      <c r="N30" s="31">
        <v>0</v>
      </c>
      <c r="O30" s="32">
        <v>0</v>
      </c>
      <c r="P30" s="32">
        <v>0</v>
      </c>
      <c r="Q30" s="32">
        <v>0</v>
      </c>
      <c r="R30" s="16">
        <v>0</v>
      </c>
      <c r="S30" s="32">
        <v>0</v>
      </c>
      <c r="T30" s="32">
        <v>0</v>
      </c>
      <c r="U30" s="32" t="s">
        <v>114</v>
      </c>
    </row>
    <row r="31" spans="1:21" x14ac:dyDescent="0.35">
      <c r="A31" t="s">
        <v>90</v>
      </c>
      <c r="B31" s="2">
        <v>45647</v>
      </c>
      <c r="C31" t="s">
        <v>15</v>
      </c>
      <c r="D31" t="s">
        <v>67</v>
      </c>
      <c r="E31">
        <v>2</v>
      </c>
      <c r="F31" t="s">
        <v>38</v>
      </c>
      <c r="G31">
        <v>8</v>
      </c>
      <c r="I31">
        <v>2024</v>
      </c>
      <c r="J31">
        <v>12</v>
      </c>
      <c r="K31">
        <v>21</v>
      </c>
      <c r="L31" s="2">
        <v>45647</v>
      </c>
      <c r="N31" s="31">
        <v>30</v>
      </c>
      <c r="O31" s="32">
        <v>3.75</v>
      </c>
      <c r="P31" s="32">
        <v>2</v>
      </c>
      <c r="Q31" s="32">
        <v>16</v>
      </c>
      <c r="R31" s="16">
        <v>0.22</v>
      </c>
      <c r="S31" s="32">
        <v>6.6</v>
      </c>
      <c r="T31" s="32">
        <v>0.82499999999999996</v>
      </c>
      <c r="U31" s="32" t="s">
        <v>114</v>
      </c>
    </row>
    <row r="32" spans="1:21" x14ac:dyDescent="0.35">
      <c r="A32" t="s">
        <v>91</v>
      </c>
      <c r="B32" s="2">
        <v>45647</v>
      </c>
      <c r="C32" t="s">
        <v>15</v>
      </c>
      <c r="D32" t="s">
        <v>67</v>
      </c>
      <c r="E32">
        <v>2</v>
      </c>
      <c r="F32" t="s">
        <v>38</v>
      </c>
      <c r="G32">
        <v>5</v>
      </c>
      <c r="I32">
        <v>2024</v>
      </c>
      <c r="J32">
        <v>12</v>
      </c>
      <c r="K32">
        <v>21</v>
      </c>
      <c r="L32" s="2">
        <v>45647</v>
      </c>
      <c r="N32" s="31">
        <v>34</v>
      </c>
      <c r="O32" s="32">
        <v>6.8</v>
      </c>
      <c r="P32" s="32">
        <v>2.7778</v>
      </c>
      <c r="Q32" s="32">
        <v>13.888999999999999</v>
      </c>
      <c r="R32" s="16">
        <v>0.22</v>
      </c>
      <c r="S32" s="32">
        <v>7.48</v>
      </c>
      <c r="T32" s="32">
        <v>1.496</v>
      </c>
      <c r="U32" s="32" t="s">
        <v>114</v>
      </c>
    </row>
    <row r="33" spans="1:21" x14ac:dyDescent="0.35">
      <c r="A33" t="s">
        <v>97</v>
      </c>
      <c r="B33" s="2">
        <v>45655</v>
      </c>
      <c r="C33" t="s">
        <v>37</v>
      </c>
      <c r="D33" t="s">
        <v>69</v>
      </c>
      <c r="E33">
        <v>1</v>
      </c>
      <c r="F33" t="s">
        <v>30</v>
      </c>
      <c r="G33">
        <v>1</v>
      </c>
      <c r="I33">
        <v>2024</v>
      </c>
      <c r="J33">
        <v>12</v>
      </c>
      <c r="K33">
        <v>29</v>
      </c>
      <c r="L33" s="2">
        <v>45655</v>
      </c>
      <c r="N33" s="31">
        <v>40.98</v>
      </c>
      <c r="O33" s="32">
        <v>40.98</v>
      </c>
      <c r="P33" s="32">
        <v>8.1881000000000004</v>
      </c>
      <c r="Q33" s="32">
        <v>8.19</v>
      </c>
      <c r="R33" s="16">
        <v>0.22</v>
      </c>
      <c r="S33" s="32">
        <v>9.02</v>
      </c>
      <c r="T33" s="32">
        <v>9.02</v>
      </c>
      <c r="U33" s="32">
        <v>32.79</v>
      </c>
    </row>
    <row r="34" spans="1:21" x14ac:dyDescent="0.35">
      <c r="A34" t="s">
        <v>98</v>
      </c>
      <c r="B34" s="2">
        <v>45655</v>
      </c>
      <c r="C34" t="s">
        <v>15</v>
      </c>
      <c r="D34" t="s">
        <v>67</v>
      </c>
      <c r="E34">
        <v>1</v>
      </c>
      <c r="F34" t="s">
        <v>30</v>
      </c>
      <c r="G34">
        <v>1</v>
      </c>
      <c r="I34">
        <v>2024</v>
      </c>
      <c r="J34">
        <v>12</v>
      </c>
      <c r="K34">
        <v>29</v>
      </c>
      <c r="L34" s="2">
        <v>45655</v>
      </c>
      <c r="N34" s="31">
        <v>5</v>
      </c>
      <c r="O34" s="32">
        <v>5</v>
      </c>
      <c r="R34" s="16">
        <v>0.22</v>
      </c>
      <c r="S34" s="32">
        <v>1.1000000000000001</v>
      </c>
      <c r="T34" s="32">
        <v>1.1000000000000001</v>
      </c>
      <c r="U34" s="32" t="s">
        <v>114</v>
      </c>
    </row>
    <row r="35" spans="1:21" x14ac:dyDescent="0.35">
      <c r="A35" t="s">
        <v>102</v>
      </c>
      <c r="B35" s="2">
        <v>45656</v>
      </c>
      <c r="C35" t="s">
        <v>15</v>
      </c>
      <c r="D35" t="s">
        <v>25</v>
      </c>
      <c r="E35" t="s">
        <v>100</v>
      </c>
      <c r="F35" t="s">
        <v>101</v>
      </c>
      <c r="G35">
        <v>1</v>
      </c>
      <c r="H35" t="s">
        <v>31</v>
      </c>
      <c r="I35">
        <v>2024</v>
      </c>
      <c r="J35">
        <v>12</v>
      </c>
      <c r="K35">
        <v>30</v>
      </c>
      <c r="L35" s="2">
        <v>45656</v>
      </c>
      <c r="N35" s="31">
        <v>0</v>
      </c>
      <c r="O35" s="32">
        <v>0</v>
      </c>
      <c r="R35" s="16">
        <v>0</v>
      </c>
      <c r="S35" s="32">
        <v>0</v>
      </c>
      <c r="T35" s="32">
        <v>0</v>
      </c>
      <c r="U35" s="32" t="s">
        <v>114</v>
      </c>
    </row>
    <row r="36" spans="1:21" x14ac:dyDescent="0.35">
      <c r="A36" t="s">
        <v>105</v>
      </c>
      <c r="B36" s="2">
        <v>45656</v>
      </c>
      <c r="C36" t="s">
        <v>15</v>
      </c>
      <c r="D36" t="s">
        <v>25</v>
      </c>
      <c r="E36" t="s">
        <v>103</v>
      </c>
      <c r="F36" t="s">
        <v>104</v>
      </c>
      <c r="G36">
        <v>3</v>
      </c>
      <c r="H36" t="s">
        <v>31</v>
      </c>
      <c r="I36">
        <v>2024</v>
      </c>
      <c r="J36">
        <v>12</v>
      </c>
      <c r="K36">
        <v>30</v>
      </c>
      <c r="L36" s="2">
        <v>45656</v>
      </c>
      <c r="N36" s="31">
        <v>22</v>
      </c>
      <c r="O36" s="32">
        <v>7.333333333333333</v>
      </c>
      <c r="R36" s="16">
        <v>0.22</v>
      </c>
      <c r="S36" s="32">
        <v>4.84</v>
      </c>
      <c r="T36" s="32">
        <v>1.6133333333333333</v>
      </c>
      <c r="U36" s="32" t="s">
        <v>114</v>
      </c>
    </row>
    <row r="37" spans="1:21" x14ac:dyDescent="0.35">
      <c r="A37" t="s">
        <v>106</v>
      </c>
      <c r="B37" s="2">
        <v>45656</v>
      </c>
      <c r="C37" t="s">
        <v>37</v>
      </c>
      <c r="D37" t="s">
        <v>69</v>
      </c>
      <c r="E37">
        <v>1</v>
      </c>
      <c r="F37" t="s">
        <v>30</v>
      </c>
      <c r="G37">
        <v>1</v>
      </c>
      <c r="I37">
        <v>2024</v>
      </c>
      <c r="J37">
        <v>12</v>
      </c>
      <c r="K37">
        <v>30</v>
      </c>
      <c r="L37" s="2">
        <v>45656</v>
      </c>
      <c r="N37" s="31">
        <v>40.98</v>
      </c>
      <c r="O37" s="32">
        <v>40.98</v>
      </c>
      <c r="P37" s="32">
        <v>8.1062999999999992</v>
      </c>
      <c r="Q37" s="32">
        <v>8.11</v>
      </c>
      <c r="R37" s="16">
        <v>0.22</v>
      </c>
      <c r="S37" s="32">
        <v>9.02</v>
      </c>
      <c r="T37" s="32">
        <v>9.02</v>
      </c>
      <c r="U37" s="32">
        <v>32.869999999999997</v>
      </c>
    </row>
    <row r="38" spans="1:21" x14ac:dyDescent="0.35">
      <c r="A38" t="s">
        <v>107</v>
      </c>
      <c r="B38" s="2">
        <v>45656</v>
      </c>
      <c r="C38" t="s">
        <v>15</v>
      </c>
      <c r="D38" t="s">
        <v>67</v>
      </c>
      <c r="E38">
        <v>1</v>
      </c>
      <c r="F38" t="s">
        <v>30</v>
      </c>
      <c r="G38">
        <v>1</v>
      </c>
      <c r="I38">
        <v>2024</v>
      </c>
      <c r="J38">
        <v>12</v>
      </c>
      <c r="K38">
        <v>30</v>
      </c>
      <c r="L38" s="2">
        <v>45656</v>
      </c>
      <c r="N38" s="31">
        <v>0</v>
      </c>
      <c r="O38" s="32">
        <v>0</v>
      </c>
      <c r="R38" s="16">
        <v>0.22</v>
      </c>
      <c r="S38" s="32">
        <v>0</v>
      </c>
      <c r="T38" s="32">
        <v>0</v>
      </c>
      <c r="U38" s="32" t="s">
        <v>114</v>
      </c>
    </row>
    <row r="39" spans="1:21" x14ac:dyDescent="0.35">
      <c r="A39" t="s">
        <v>108</v>
      </c>
      <c r="B39" s="2">
        <v>45656</v>
      </c>
      <c r="C39" t="s">
        <v>37</v>
      </c>
      <c r="D39" t="s">
        <v>69</v>
      </c>
      <c r="E39">
        <v>1</v>
      </c>
      <c r="F39" t="s">
        <v>30</v>
      </c>
      <c r="G39">
        <v>1</v>
      </c>
      <c r="I39">
        <v>2024</v>
      </c>
      <c r="J39">
        <v>12</v>
      </c>
      <c r="K39">
        <v>30</v>
      </c>
      <c r="L39" s="2">
        <v>45656</v>
      </c>
      <c r="N39" s="31">
        <v>40.98</v>
      </c>
      <c r="O39" s="32">
        <v>40.98</v>
      </c>
      <c r="P39" s="32">
        <v>7.8983999999999996</v>
      </c>
      <c r="Q39" s="32">
        <v>7.9</v>
      </c>
      <c r="R39" s="16">
        <v>0.22</v>
      </c>
      <c r="S39" s="32">
        <v>9.02</v>
      </c>
      <c r="T39" s="32">
        <v>9.02</v>
      </c>
      <c r="U39" s="32">
        <v>33.08</v>
      </c>
    </row>
    <row r="40" spans="1:21" x14ac:dyDescent="0.35">
      <c r="A40" t="s">
        <v>109</v>
      </c>
      <c r="B40" s="2">
        <v>45656</v>
      </c>
      <c r="C40" t="s">
        <v>15</v>
      </c>
      <c r="D40" t="s">
        <v>67</v>
      </c>
      <c r="E40">
        <v>1</v>
      </c>
      <c r="F40" t="s">
        <v>30</v>
      </c>
      <c r="G40">
        <v>1</v>
      </c>
      <c r="I40">
        <v>2024</v>
      </c>
      <c r="J40">
        <v>12</v>
      </c>
      <c r="K40">
        <v>30</v>
      </c>
      <c r="L40" s="2">
        <v>45656</v>
      </c>
      <c r="N40" s="31">
        <v>30</v>
      </c>
      <c r="O40" s="32">
        <v>30</v>
      </c>
      <c r="R40" s="16">
        <v>0.22</v>
      </c>
      <c r="S40" s="32">
        <v>6.6</v>
      </c>
      <c r="T40" s="32">
        <v>6.6</v>
      </c>
      <c r="U40" s="32" t="s">
        <v>114</v>
      </c>
    </row>
    <row r="41" spans="1:21" x14ac:dyDescent="0.35">
      <c r="A41" t="s">
        <v>110</v>
      </c>
      <c r="B41" s="2">
        <v>45656</v>
      </c>
      <c r="C41" t="s">
        <v>15</v>
      </c>
      <c r="D41" t="s">
        <v>25</v>
      </c>
      <c r="E41">
        <v>252525</v>
      </c>
      <c r="F41">
        <v>252525</v>
      </c>
      <c r="G41">
        <v>1</v>
      </c>
      <c r="H41" t="s">
        <v>31</v>
      </c>
      <c r="I41">
        <v>2024</v>
      </c>
      <c r="J41">
        <v>12</v>
      </c>
      <c r="K41">
        <v>30</v>
      </c>
      <c r="L41" s="2">
        <v>45656</v>
      </c>
      <c r="N41" s="31">
        <v>3</v>
      </c>
      <c r="O41" s="32">
        <v>3</v>
      </c>
      <c r="R41" s="16">
        <v>0.22</v>
      </c>
      <c r="S41" s="32">
        <v>0.66</v>
      </c>
      <c r="T41" s="32">
        <v>0.66</v>
      </c>
      <c r="U41" s="32" t="s">
        <v>114</v>
      </c>
    </row>
    <row r="42" spans="1:21" x14ac:dyDescent="0.35">
      <c r="A42" t="s">
        <v>111</v>
      </c>
      <c r="B42" s="2">
        <v>45656</v>
      </c>
      <c r="C42" t="s">
        <v>37</v>
      </c>
      <c r="D42" t="s">
        <v>69</v>
      </c>
      <c r="E42">
        <v>1</v>
      </c>
      <c r="F42" t="s">
        <v>30</v>
      </c>
      <c r="G42">
        <v>1</v>
      </c>
      <c r="I42">
        <v>2024</v>
      </c>
      <c r="J42">
        <v>12</v>
      </c>
      <c r="K42">
        <v>30</v>
      </c>
      <c r="L42" s="2">
        <v>45656</v>
      </c>
      <c r="N42" s="31">
        <v>40.98</v>
      </c>
      <c r="O42" s="32">
        <v>40.98</v>
      </c>
      <c r="P42" s="32">
        <v>8.4649999999999999</v>
      </c>
      <c r="Q42" s="32">
        <v>8.4700000000000006</v>
      </c>
      <c r="R42" s="16">
        <v>0.22</v>
      </c>
      <c r="S42" s="32">
        <v>9.02</v>
      </c>
      <c r="T42" s="32">
        <v>9.02</v>
      </c>
      <c r="U42" s="32">
        <v>32.51</v>
      </c>
    </row>
    <row r="43" spans="1:21" x14ac:dyDescent="0.35">
      <c r="A43" t="s">
        <v>112</v>
      </c>
      <c r="B43" s="2">
        <v>45656</v>
      </c>
      <c r="C43" t="s">
        <v>15</v>
      </c>
      <c r="D43" t="s">
        <v>67</v>
      </c>
      <c r="E43">
        <v>1</v>
      </c>
      <c r="F43" t="s">
        <v>30</v>
      </c>
      <c r="G43">
        <v>3</v>
      </c>
      <c r="I43">
        <v>2024</v>
      </c>
      <c r="J43">
        <v>12</v>
      </c>
      <c r="K43">
        <v>30</v>
      </c>
      <c r="L43" s="2">
        <v>45656</v>
      </c>
      <c r="N43" s="31">
        <v>20</v>
      </c>
      <c r="O43" s="32">
        <v>6.666666666666667</v>
      </c>
      <c r="R43" s="16">
        <v>0.22</v>
      </c>
      <c r="S43" s="32">
        <v>4.4000000000000004</v>
      </c>
      <c r="T43" s="32">
        <v>1.4666666666666668</v>
      </c>
      <c r="U43" s="32" t="s">
        <v>114</v>
      </c>
    </row>
    <row r="44" spans="1:21" x14ac:dyDescent="0.35">
      <c r="A44" t="s">
        <v>115</v>
      </c>
      <c r="B44" s="2">
        <v>45656</v>
      </c>
      <c r="C44" t="s">
        <v>15</v>
      </c>
      <c r="D44" t="s">
        <v>67</v>
      </c>
      <c r="E44">
        <v>1</v>
      </c>
      <c r="F44" t="s">
        <v>30</v>
      </c>
      <c r="G44">
        <v>1</v>
      </c>
      <c r="I44">
        <v>2024</v>
      </c>
      <c r="J44">
        <v>12</v>
      </c>
      <c r="K44">
        <v>30</v>
      </c>
      <c r="L44" s="2">
        <v>45656</v>
      </c>
      <c r="N44" s="31">
        <v>0</v>
      </c>
      <c r="O44" s="32">
        <v>0</v>
      </c>
      <c r="R44" s="16">
        <v>0.22</v>
      </c>
      <c r="S44" s="32">
        <v>0</v>
      </c>
      <c r="T44" s="32">
        <v>0</v>
      </c>
    </row>
    <row r="45" spans="1:21" x14ac:dyDescent="0.35">
      <c r="A45" t="s">
        <v>116</v>
      </c>
      <c r="B45" s="2">
        <v>45656</v>
      </c>
      <c r="C45" t="s">
        <v>37</v>
      </c>
      <c r="D45" t="s">
        <v>69</v>
      </c>
      <c r="E45">
        <v>1</v>
      </c>
      <c r="F45" t="s">
        <v>30</v>
      </c>
      <c r="G45">
        <v>1</v>
      </c>
      <c r="I45">
        <v>2024</v>
      </c>
      <c r="J45">
        <v>12</v>
      </c>
      <c r="K45">
        <v>30</v>
      </c>
      <c r="L45" s="2">
        <v>45656</v>
      </c>
      <c r="N45" s="31">
        <v>40.98</v>
      </c>
      <c r="O45" s="32">
        <v>40.98</v>
      </c>
      <c r="P45" s="32">
        <v>8.1349</v>
      </c>
      <c r="Q45" s="32">
        <v>8.1300000000000008</v>
      </c>
      <c r="R45" s="16">
        <v>0.22</v>
      </c>
      <c r="S45" s="32">
        <v>9.02</v>
      </c>
      <c r="T45" s="32">
        <v>9.02</v>
      </c>
      <c r="U45" s="32">
        <v>32.849999999999994</v>
      </c>
    </row>
    <row r="46" spans="1:21" x14ac:dyDescent="0.35">
      <c r="A46" t="s">
        <v>119</v>
      </c>
      <c r="B46" s="2">
        <v>45656</v>
      </c>
      <c r="C46" t="s">
        <v>15</v>
      </c>
      <c r="D46" t="s">
        <v>25</v>
      </c>
      <c r="E46" t="s">
        <v>117</v>
      </c>
      <c r="F46" t="s">
        <v>118</v>
      </c>
      <c r="G46">
        <v>1</v>
      </c>
      <c r="H46" t="s">
        <v>31</v>
      </c>
      <c r="I46">
        <v>2024</v>
      </c>
      <c r="J46">
        <v>12</v>
      </c>
      <c r="K46">
        <v>30</v>
      </c>
      <c r="L46" s="2">
        <v>45656</v>
      </c>
      <c r="N46" s="31">
        <v>30</v>
      </c>
      <c r="O46" s="32">
        <v>30</v>
      </c>
      <c r="R46" s="16">
        <v>0.22</v>
      </c>
      <c r="S46" s="32">
        <v>6.6</v>
      </c>
      <c r="T46" s="32">
        <v>6.6</v>
      </c>
    </row>
    <row r="47" spans="1:21" x14ac:dyDescent="0.35">
      <c r="A47" t="s">
        <v>127</v>
      </c>
      <c r="B47" s="2">
        <v>45664</v>
      </c>
      <c r="C47" t="s">
        <v>37</v>
      </c>
      <c r="D47" t="s">
        <v>69</v>
      </c>
      <c r="E47">
        <v>1</v>
      </c>
      <c r="F47" t="s">
        <v>30</v>
      </c>
      <c r="G47">
        <v>2</v>
      </c>
      <c r="I47">
        <v>2025</v>
      </c>
      <c r="J47">
        <v>1</v>
      </c>
      <c r="K47">
        <v>7</v>
      </c>
      <c r="L47" s="2">
        <v>45664</v>
      </c>
      <c r="N47" s="31">
        <v>81.97</v>
      </c>
      <c r="O47" s="32">
        <v>40.984999999999999</v>
      </c>
      <c r="P47" s="32">
        <v>8.1349999999999998</v>
      </c>
      <c r="Q47" s="32">
        <v>16.27</v>
      </c>
      <c r="R47" s="16">
        <v>0.22</v>
      </c>
      <c r="S47" s="32">
        <v>18.03</v>
      </c>
      <c r="T47" s="32">
        <v>9.0150000000000006</v>
      </c>
      <c r="U47" s="32">
        <v>65.7</v>
      </c>
    </row>
    <row r="48" spans="1:21" x14ac:dyDescent="0.35">
      <c r="A48" t="s">
        <v>127</v>
      </c>
      <c r="B48" s="2">
        <v>45664</v>
      </c>
      <c r="C48" t="s">
        <v>37</v>
      </c>
      <c r="D48" t="s">
        <v>69</v>
      </c>
      <c r="E48">
        <v>1</v>
      </c>
      <c r="F48" t="s">
        <v>30</v>
      </c>
      <c r="G48">
        <v>2</v>
      </c>
      <c r="I48">
        <v>2025</v>
      </c>
      <c r="J48">
        <v>1</v>
      </c>
      <c r="K48">
        <v>7</v>
      </c>
      <c r="L48" s="2">
        <v>45664</v>
      </c>
      <c r="N48" s="31">
        <v>81.97</v>
      </c>
      <c r="O48" s="32">
        <v>40.984999999999999</v>
      </c>
      <c r="P48" s="32">
        <v>8.1349999999999998</v>
      </c>
      <c r="Q48" s="32">
        <v>16.27</v>
      </c>
      <c r="R48" s="16">
        <v>0.22</v>
      </c>
      <c r="S48" s="32">
        <v>18.03</v>
      </c>
      <c r="T48" s="32">
        <v>9.0150000000000006</v>
      </c>
      <c r="U48" s="32">
        <v>65.7</v>
      </c>
    </row>
    <row r="49" spans="1:21" x14ac:dyDescent="0.35">
      <c r="A49" t="s">
        <v>127</v>
      </c>
      <c r="B49" s="2">
        <v>45664</v>
      </c>
      <c r="C49" t="s">
        <v>37</v>
      </c>
      <c r="D49" t="s">
        <v>69</v>
      </c>
      <c r="E49">
        <v>1</v>
      </c>
      <c r="F49" t="s">
        <v>30</v>
      </c>
      <c r="G49">
        <v>2</v>
      </c>
      <c r="I49">
        <v>2025</v>
      </c>
      <c r="J49">
        <v>1</v>
      </c>
      <c r="K49">
        <v>7</v>
      </c>
      <c r="L49" s="2">
        <v>45664</v>
      </c>
      <c r="N49" s="31">
        <v>81.97</v>
      </c>
      <c r="O49" s="32">
        <v>40.984999999999999</v>
      </c>
      <c r="P49" s="32">
        <v>8.1349999999999998</v>
      </c>
      <c r="Q49" s="32">
        <v>16.27</v>
      </c>
      <c r="R49" s="16">
        <v>0.22</v>
      </c>
      <c r="S49" s="32">
        <v>18.03</v>
      </c>
      <c r="T49" s="32">
        <v>9.0150000000000006</v>
      </c>
      <c r="U49" s="32">
        <v>65.7</v>
      </c>
    </row>
    <row r="50" spans="1:21" x14ac:dyDescent="0.35">
      <c r="A50" t="s">
        <v>127</v>
      </c>
      <c r="B50" s="2">
        <v>45664</v>
      </c>
      <c r="C50" t="s">
        <v>37</v>
      </c>
      <c r="D50" t="s">
        <v>69</v>
      </c>
      <c r="E50">
        <v>1</v>
      </c>
      <c r="F50" t="s">
        <v>30</v>
      </c>
      <c r="G50">
        <v>2</v>
      </c>
      <c r="I50">
        <v>2025</v>
      </c>
      <c r="J50">
        <v>1</v>
      </c>
      <c r="K50">
        <v>7</v>
      </c>
      <c r="L50" s="2">
        <v>45664</v>
      </c>
      <c r="N50" s="31">
        <v>81.97</v>
      </c>
      <c r="O50" s="32">
        <v>40.984999999999999</v>
      </c>
      <c r="P50" s="32">
        <v>8.1349999999999998</v>
      </c>
      <c r="Q50" s="32">
        <v>16.27</v>
      </c>
      <c r="R50" s="16">
        <v>0.22</v>
      </c>
      <c r="S50" s="32">
        <v>18.03</v>
      </c>
      <c r="T50" s="32">
        <v>9.0150000000000006</v>
      </c>
      <c r="U50" s="32">
        <v>65.7</v>
      </c>
    </row>
    <row r="51" spans="1:21" x14ac:dyDescent="0.35">
      <c r="A51" t="s">
        <v>112</v>
      </c>
      <c r="B51" s="2">
        <v>45656</v>
      </c>
      <c r="C51" t="s">
        <v>15</v>
      </c>
      <c r="D51" t="s">
        <v>67</v>
      </c>
      <c r="E51">
        <v>1</v>
      </c>
      <c r="F51" t="s">
        <v>30</v>
      </c>
      <c r="G51">
        <v>3</v>
      </c>
      <c r="I51">
        <v>2024</v>
      </c>
      <c r="J51">
        <v>12</v>
      </c>
      <c r="K51">
        <v>30</v>
      </c>
      <c r="L51" s="2">
        <v>45656</v>
      </c>
      <c r="N51" s="31">
        <v>20</v>
      </c>
      <c r="O51" s="32">
        <v>6.666666666666667</v>
      </c>
      <c r="R51" s="16">
        <v>0.22</v>
      </c>
      <c r="S51" s="32">
        <v>4.4000000000000004</v>
      </c>
      <c r="T51" s="32">
        <v>1.4666666666666668</v>
      </c>
      <c r="U51" s="32" t="s">
        <v>114</v>
      </c>
    </row>
  </sheetData>
  <sheetProtection selectLockedCells="1" selectUnlockedCells="1"/>
  <autoFilter ref="A1:U43" xr:uid="{00000000-0001-0000-0000-000000000000}"/>
  <phoneticPr fontId="1" type="noConversion"/>
  <conditionalFormatting sqref="A1:V1048576">
    <cfRule type="expression" dxfId="2" priority="1">
      <formula>$C1="Uscita"</formula>
    </cfRule>
    <cfRule type="expression" dxfId="1" priority="2">
      <formula>$C1="Ingresso"</formula>
    </cfRule>
  </conditionalFormatting>
  <dataValidations count="2">
    <dataValidation type="list" allowBlank="1" showInputMessage="1" showErrorMessage="1" sqref="C2:C1048576" xr:uid="{375326B0-C8F1-4A26-A9E1-03962AA797F7}">
      <formula1>"Ingresso,Uscita,Altro"</formula1>
    </dataValidation>
    <dataValidation type="list" allowBlank="1" showInputMessage="1" showErrorMessage="1" sqref="D2:D1048576" xr:uid="{579F07B4-8374-4B09-80D4-67C9A5BB0AA2}">
      <formula1>"Acquisto,Vendita,Q. Iniziale,Perdita,Altri Ingressi,Accorpamento"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3284-E237-44DD-8A86-BB51231357A5}">
  <sheetPr codeName="Foglio2"/>
  <dimension ref="A1:O14"/>
  <sheetViews>
    <sheetView zoomScaleNormal="100" workbookViewId="0">
      <pane ySplit="1" topLeftCell="A8" activePane="bottomLeft" state="frozen"/>
      <selection pane="bottomLeft"/>
    </sheetView>
  </sheetViews>
  <sheetFormatPr defaultRowHeight="14.5" x14ac:dyDescent="0.35"/>
  <cols>
    <col min="2" max="2" width="14.1796875" customWidth="1"/>
    <col min="3" max="3" width="8.7265625" style="1"/>
    <col min="4" max="4" width="20.81640625" customWidth="1"/>
    <col min="5" max="5" width="26.6328125" customWidth="1"/>
    <col min="6" max="6" width="11.1796875" style="1" customWidth="1"/>
    <col min="7" max="7" width="13.54296875" style="1" customWidth="1"/>
    <col min="8" max="8" width="13.7265625" style="35" bestFit="1" customWidth="1"/>
    <col min="9" max="9" width="18" style="36" customWidth="1"/>
    <col min="10" max="10" width="8.7265625" style="16"/>
    <col min="11" max="11" width="15.54296875" style="32" bestFit="1" customWidth="1"/>
    <col min="12" max="12" width="15.7265625" style="35" bestFit="1" customWidth="1"/>
    <col min="13" max="13" width="9.7265625" style="1" bestFit="1" customWidth="1"/>
    <col min="14" max="14" width="10.36328125" style="1" bestFit="1" customWidth="1"/>
    <col min="15" max="15" width="10.54296875" style="36" bestFit="1" customWidth="1"/>
  </cols>
  <sheetData>
    <row r="1" spans="1:15" s="3" customFormat="1" x14ac:dyDescent="0.35">
      <c r="A1" s="3" t="s">
        <v>16</v>
      </c>
      <c r="B1" s="3" t="s">
        <v>9</v>
      </c>
      <c r="C1" s="10" t="s">
        <v>17</v>
      </c>
      <c r="D1" s="3" t="s">
        <v>12</v>
      </c>
      <c r="E1" s="3" t="s">
        <v>5</v>
      </c>
      <c r="F1" s="3" t="s">
        <v>10</v>
      </c>
      <c r="G1" s="3" t="s">
        <v>11</v>
      </c>
      <c r="H1" s="30" t="s">
        <v>63</v>
      </c>
      <c r="I1" s="34" t="s">
        <v>49</v>
      </c>
      <c r="J1" s="15" t="s">
        <v>33</v>
      </c>
      <c r="K1" s="29" t="s">
        <v>50</v>
      </c>
      <c r="L1" s="29" t="s">
        <v>51</v>
      </c>
      <c r="M1" s="3" t="s">
        <v>120</v>
      </c>
      <c r="N1" s="3" t="s">
        <v>113</v>
      </c>
      <c r="O1" s="37" t="s">
        <v>132</v>
      </c>
    </row>
    <row r="2" spans="1:15" x14ac:dyDescent="0.35">
      <c r="A2">
        <v>1</v>
      </c>
      <c r="B2" t="s">
        <v>30</v>
      </c>
      <c r="C2" s="1">
        <f>IFERROR(SUMIFS(Operazioni!G:G,Operazioni!E:E,A2,Operazioni!C:C,"Ingresso")-SUMIFS(Operazioni!G:G,Operazioni!E:E,A2,Operazioni!C:C,"Uscita"),0)</f>
        <v>36</v>
      </c>
      <c r="H2" s="35">
        <f>IFERROR(I2/C2,0)</f>
        <v>8.0126833333333334</v>
      </c>
      <c r="I2" s="36">
        <f>IFERROR(MAX(SUMIFS(Operazioni!N:N,Operazioni!E:E,A2,Operazioni!C:C,"Ingresso")-SUMIFS(Operazioni!Q:Q,Operazioni!E:E,A2,Operazioni!C:C,"Uscita"),0),0)</f>
        <v>288.45659999999998</v>
      </c>
      <c r="J2" s="16">
        <v>0.22</v>
      </c>
      <c r="K2" s="32">
        <v>50</v>
      </c>
      <c r="L2" s="35">
        <f>IFERROR(K2/(1+J2),"")</f>
        <v>40.983606557377051</v>
      </c>
      <c r="M2" s="1">
        <f>COUNTIFS(Operazioni!E:E,Inventario!A2,Operazioni!D:D,"Vendita")</f>
        <v>22</v>
      </c>
      <c r="N2" s="1">
        <f>SUMIFS(Operazioni!G:G,Operazioni!E:E,Inventario!A2,Operazioni!D:D,"Vendita")</f>
        <v>30</v>
      </c>
      <c r="O2" s="35">
        <f>SUMIFS(Operazioni!U:U,Operazioni!E:E,Inventario!A2,Operazioni!D:D,"Vendita")</f>
        <v>1062.7466000000002</v>
      </c>
    </row>
    <row r="3" spans="1:15" x14ac:dyDescent="0.35">
      <c r="A3">
        <v>2</v>
      </c>
      <c r="B3" t="s">
        <v>38</v>
      </c>
      <c r="C3" s="1">
        <f>IFERROR(SUMIFS(Operazioni!G:G,Operazioni!E:E,A3,Operazioni!C:C,"Ingresso")-SUMIFS(Operazioni!G:G,Operazioni!E:E,A3,Operazioni!C:C,"Uscita"),0)</f>
        <v>23</v>
      </c>
      <c r="D3" t="s">
        <v>39</v>
      </c>
      <c r="E3" t="s">
        <v>31</v>
      </c>
      <c r="H3" s="35">
        <f t="shared" ref="H3:H14" si="0">IFERROR(I3/C3,0)</f>
        <v>3.652173913043478</v>
      </c>
      <c r="I3" s="36">
        <f>IFERROR(MAX(SUMIFS(Operazioni!N:N,Operazioni!E:E,A3,Operazioni!C:C,"Ingresso")-SUMIFS(Operazioni!Q:Q,Operazioni!E:E,A3,Operazioni!C:C,"Uscita"),0),0)</f>
        <v>84</v>
      </c>
      <c r="J3" s="16">
        <v>0.22</v>
      </c>
      <c r="K3" s="32">
        <v>100</v>
      </c>
      <c r="L3" s="35">
        <f t="shared" ref="L3:L14" si="1">IFERROR(K3/(1+J3),"")</f>
        <v>81.967213114754102</v>
      </c>
      <c r="M3" s="1">
        <f>COUNTIFS(Operazioni!E:E,Inventario!A3,Operazioni!D:D,"Vendita")</f>
        <v>0</v>
      </c>
      <c r="N3" s="1">
        <f>SUMIFS(Operazioni!G:G,Operazioni!E:E,Inventario!A3,Operazioni!D:D,"Vendita")</f>
        <v>0</v>
      </c>
      <c r="O3" s="35">
        <f>SUMIFS(Operazioni!U:U,Operazioni!E:E,Inventario!A3,Operazioni!D:D,"Vendita")</f>
        <v>0</v>
      </c>
    </row>
    <row r="4" spans="1:15" x14ac:dyDescent="0.35">
      <c r="A4" t="s">
        <v>44</v>
      </c>
      <c r="B4" t="s">
        <v>44</v>
      </c>
      <c r="C4" s="1">
        <f>IFERROR(SUMIFS(Operazioni!G:G,Operazioni!E:E,A4,Operazioni!C:C,"Ingresso")-SUMIFS(Operazioni!G:G,Operazioni!E:E,A4,Operazioni!C:C,"Uscita"),0)</f>
        <v>1</v>
      </c>
      <c r="E4" t="s">
        <v>31</v>
      </c>
      <c r="H4" s="35">
        <f t="shared" si="0"/>
        <v>30</v>
      </c>
      <c r="I4" s="36">
        <f>IFERROR(MAX(SUMIFS(Operazioni!N:N,Operazioni!E:E,A4,Operazioni!C:C,"Ingresso")-SUMIFS(Operazioni!Q:Q,Operazioni!E:E,A4,Operazioni!C:C,"Uscita"),0),0)</f>
        <v>30</v>
      </c>
      <c r="J4" s="16">
        <v>0.22</v>
      </c>
      <c r="K4" s="32">
        <v>120</v>
      </c>
      <c r="L4" s="35">
        <f t="shared" si="1"/>
        <v>98.360655737704917</v>
      </c>
      <c r="M4" s="1">
        <f>COUNTIFS(Operazioni!E:E,Inventario!A4,Operazioni!D:D,"Vendita")</f>
        <v>0</v>
      </c>
      <c r="N4" s="1">
        <f>SUMIFS(Operazioni!G:G,Operazioni!E:E,Inventario!A4,Operazioni!D:D,"Vendita")</f>
        <v>0</v>
      </c>
      <c r="O4" s="35">
        <f>SUMIFS(Operazioni!U:U,Operazioni!E:E,Inventario!A4,Operazioni!D:D,"Vendita")</f>
        <v>0</v>
      </c>
    </row>
    <row r="5" spans="1:15" x14ac:dyDescent="0.35">
      <c r="A5" t="s">
        <v>45</v>
      </c>
      <c r="B5" t="s">
        <v>46</v>
      </c>
      <c r="C5" s="1">
        <f>IFERROR(SUMIFS(Operazioni!G:G,Operazioni!E:E,A5,Operazioni!C:C,"Ingresso")-SUMIFS(Operazioni!G:G,Operazioni!E:E,A5,Operazioni!C:C,"Uscita"),0)</f>
        <v>10</v>
      </c>
      <c r="E5" t="s">
        <v>31</v>
      </c>
      <c r="H5" s="35">
        <f t="shared" si="0"/>
        <v>30</v>
      </c>
      <c r="I5" s="36">
        <f>IFERROR(MAX(SUMIFS(Operazioni!N:N,Operazioni!E:E,A5,Operazioni!C:C,"Ingresso")-SUMIFS(Operazioni!Q:Q,Operazioni!E:E,A5,Operazioni!C:C,"Uscita"),0),0)</f>
        <v>300</v>
      </c>
      <c r="J5" s="16">
        <v>0.22</v>
      </c>
      <c r="K5" s="32">
        <v>75</v>
      </c>
      <c r="L5" s="35">
        <f t="shared" si="1"/>
        <v>61.475409836065573</v>
      </c>
      <c r="M5" s="1">
        <f>COUNTIFS(Operazioni!E:E,Inventario!A5,Operazioni!D:D,"Vendita")</f>
        <v>0</v>
      </c>
      <c r="N5" s="1">
        <f>SUMIFS(Operazioni!G:G,Operazioni!E:E,Inventario!A5,Operazioni!D:D,"Vendita")</f>
        <v>0</v>
      </c>
      <c r="O5" s="35">
        <f>SUMIFS(Operazioni!U:U,Operazioni!E:E,Inventario!A5,Operazioni!D:D,"Vendita")</f>
        <v>0</v>
      </c>
    </row>
    <row r="6" spans="1:15" x14ac:dyDescent="0.35">
      <c r="A6" t="s">
        <v>47</v>
      </c>
      <c r="B6" t="s">
        <v>47</v>
      </c>
      <c r="C6" s="1">
        <f>IFERROR(SUMIFS(Operazioni!G:G,Operazioni!E:E,A6,Operazioni!C:C,"Ingresso")-SUMIFS(Operazioni!G:G,Operazioni!E:E,A6,Operazioni!C:C,"Uscita"),0)</f>
        <v>12</v>
      </c>
      <c r="E6" t="s">
        <v>31</v>
      </c>
      <c r="H6" s="35">
        <f t="shared" si="0"/>
        <v>6.8308333333333335</v>
      </c>
      <c r="I6" s="36">
        <f>IFERROR(MAX(SUMIFS(Operazioni!N:N,Operazioni!E:E,A6,Operazioni!C:C,"Ingresso")-SUMIFS(Operazioni!Q:Q,Operazioni!E:E,A6,Operazioni!C:C,"Uscita"),0),0)</f>
        <v>81.97</v>
      </c>
      <c r="J6" s="16">
        <v>0.22</v>
      </c>
      <c r="K6" s="32">
        <v>150</v>
      </c>
      <c r="L6" s="35">
        <f t="shared" si="1"/>
        <v>122.95081967213115</v>
      </c>
      <c r="M6" s="1">
        <f>COUNTIFS(Operazioni!E:E,Inventario!A6,Operazioni!D:D,"Vendita")</f>
        <v>0</v>
      </c>
      <c r="N6" s="1">
        <f>SUMIFS(Operazioni!G:G,Operazioni!E:E,Inventario!A6,Operazioni!D:D,"Vendita")</f>
        <v>0</v>
      </c>
      <c r="O6" s="35">
        <f>SUMIFS(Operazioni!U:U,Operazioni!E:E,Inventario!A6,Operazioni!D:D,"Vendita")</f>
        <v>0</v>
      </c>
    </row>
    <row r="7" spans="1:15" x14ac:dyDescent="0.35">
      <c r="A7" t="s">
        <v>52</v>
      </c>
      <c r="B7" t="s">
        <v>53</v>
      </c>
      <c r="C7" s="1">
        <f>IFERROR(SUMIFS(Operazioni!G:G,Operazioni!E:E,A7,Operazioni!C:C,"Ingresso")-SUMIFS(Operazioni!G:G,Operazioni!E:E,A7,Operazioni!C:C,"Uscita"),0)</f>
        <v>1</v>
      </c>
      <c r="E7" t="s">
        <v>31</v>
      </c>
      <c r="H7" s="35">
        <f t="shared" si="0"/>
        <v>30</v>
      </c>
      <c r="I7" s="36">
        <f>IFERROR(MAX(SUMIFS(Operazioni!N:N,Operazioni!E:E,A7,Operazioni!C:C,"Ingresso")-SUMIFS(Operazioni!Q:Q,Operazioni!E:E,A7,Operazioni!C:C,"Uscita"),0),0)</f>
        <v>30</v>
      </c>
      <c r="J7" s="16">
        <v>0.05</v>
      </c>
      <c r="K7" s="32">
        <v>50</v>
      </c>
      <c r="L7" s="35">
        <f t="shared" si="1"/>
        <v>47.61904761904762</v>
      </c>
      <c r="M7" s="1">
        <f>COUNTIFS(Operazioni!E:E,Inventario!A7,Operazioni!D:D,"Vendita")</f>
        <v>0</v>
      </c>
      <c r="N7" s="1">
        <f>SUMIFS(Operazioni!G:G,Operazioni!E:E,Inventario!A7,Operazioni!D:D,"Vendita")</f>
        <v>0</v>
      </c>
      <c r="O7" s="35">
        <f>SUMIFS(Operazioni!U:U,Operazioni!E:E,Inventario!A7,Operazioni!D:D,"Vendita")</f>
        <v>0</v>
      </c>
    </row>
    <row r="8" spans="1:15" x14ac:dyDescent="0.35">
      <c r="A8" t="s">
        <v>55</v>
      </c>
      <c r="B8" t="s">
        <v>56</v>
      </c>
      <c r="C8" s="1">
        <f>IFERROR(SUMIFS(Operazioni!G:G,Operazioni!E:E,A8,Operazioni!C:C,"Ingresso")-SUMIFS(Operazioni!G:G,Operazioni!E:E,A8,Operazioni!C:C,"Uscita"),0)</f>
        <v>1</v>
      </c>
      <c r="E8" t="s">
        <v>31</v>
      </c>
      <c r="H8" s="35">
        <f t="shared" si="0"/>
        <v>3</v>
      </c>
      <c r="I8" s="36">
        <f>IFERROR(MAX(SUMIFS(Operazioni!N:N,Operazioni!E:E,A8,Operazioni!C:C,"Ingresso")-SUMIFS(Operazioni!Q:Q,Operazioni!E:E,A8,Operazioni!C:C,"Uscita"),0),0)</f>
        <v>3</v>
      </c>
      <c r="J8" s="16">
        <v>0.10099999999999999</v>
      </c>
      <c r="K8" s="32">
        <v>0</v>
      </c>
      <c r="L8" s="35">
        <f t="shared" si="1"/>
        <v>0</v>
      </c>
      <c r="M8" s="1">
        <f>COUNTIFS(Operazioni!E:E,Inventario!A8,Operazioni!D:D,"Vendita")</f>
        <v>0</v>
      </c>
      <c r="N8" s="1">
        <f>SUMIFS(Operazioni!G:G,Operazioni!E:E,Inventario!A8,Operazioni!D:D,"Vendita")</f>
        <v>0</v>
      </c>
      <c r="O8" s="35">
        <f>SUMIFS(Operazioni!U:U,Operazioni!E:E,Inventario!A8,Operazioni!D:D,"Vendita")</f>
        <v>0</v>
      </c>
    </row>
    <row r="9" spans="1:15" x14ac:dyDescent="0.35">
      <c r="A9" t="s">
        <v>58</v>
      </c>
      <c r="B9" t="s">
        <v>59</v>
      </c>
      <c r="C9" s="1">
        <f>IFERROR(SUMIFS(Operazioni!G:G,Operazioni!E:E,A9,Operazioni!C:C,"Ingresso")-SUMIFS(Operazioni!G:G,Operazioni!E:E,A9,Operazioni!C:C,"Uscita"),0)</f>
        <v>1</v>
      </c>
      <c r="E9" t="s">
        <v>31</v>
      </c>
      <c r="H9" s="35">
        <f t="shared" si="0"/>
        <v>1</v>
      </c>
      <c r="I9" s="36">
        <f>IFERROR(MAX(SUMIFS(Operazioni!N:N,Operazioni!E:E,A9,Operazioni!C:C,"Ingresso")-SUMIFS(Operazioni!Q:Q,Operazioni!E:E,A9,Operazioni!C:C,"Uscita"),0),0)</f>
        <v>1</v>
      </c>
      <c r="J9" s="16">
        <v>0.14300000000000002</v>
      </c>
      <c r="K9" s="32">
        <v>12.33</v>
      </c>
      <c r="L9" s="35">
        <f t="shared" si="1"/>
        <v>10.78740157480315</v>
      </c>
      <c r="M9" s="1">
        <f>COUNTIFS(Operazioni!E:E,Inventario!A9,Operazioni!D:D,"Vendita")</f>
        <v>0</v>
      </c>
      <c r="N9" s="1">
        <f>SUMIFS(Operazioni!G:G,Operazioni!E:E,Inventario!A9,Operazioni!D:D,"Vendita")</f>
        <v>0</v>
      </c>
      <c r="O9" s="35">
        <f>SUMIFS(Operazioni!U:U,Operazioni!E:E,Inventario!A9,Operazioni!D:D,"Vendita")</f>
        <v>0</v>
      </c>
    </row>
    <row r="10" spans="1:15" x14ac:dyDescent="0.35">
      <c r="A10" t="s">
        <v>61</v>
      </c>
      <c r="B10" t="s">
        <v>61</v>
      </c>
      <c r="C10" s="1">
        <f>IFERROR(SUMIFS(Operazioni!G:G,Operazioni!E:E,A10,Operazioni!C:C,"Ingresso")-SUMIFS(Operazioni!G:G,Operazioni!E:E,A10,Operazioni!C:C,"Uscita"),0)</f>
        <v>1</v>
      </c>
      <c r="E10" t="s">
        <v>31</v>
      </c>
      <c r="H10" s="35">
        <f t="shared" si="0"/>
        <v>0</v>
      </c>
      <c r="I10" s="36">
        <f>IFERROR(MAX(SUMIFS(Operazioni!N:N,Operazioni!E:E,A10,Operazioni!C:C,"Ingresso")-SUMIFS(Operazioni!Q:Q,Operazioni!E:E,A10,Operazioni!C:C,"Uscita"),0),0)</f>
        <v>0</v>
      </c>
      <c r="J10" s="16">
        <v>0</v>
      </c>
      <c r="K10" s="32">
        <v>0</v>
      </c>
      <c r="L10" s="35">
        <f t="shared" si="1"/>
        <v>0</v>
      </c>
      <c r="M10" s="1">
        <f>COUNTIFS(Operazioni!E:E,Inventario!A10,Operazioni!D:D,"Vendita")</f>
        <v>0</v>
      </c>
      <c r="N10" s="1">
        <f>SUMIFS(Operazioni!G:G,Operazioni!E:E,Inventario!A10,Operazioni!D:D,"Vendita")</f>
        <v>0</v>
      </c>
      <c r="O10" s="35">
        <f>SUMIFS(Operazioni!U:U,Operazioni!E:E,Inventario!A10,Operazioni!D:D,"Vendita")</f>
        <v>0</v>
      </c>
    </row>
    <row r="11" spans="1:15" x14ac:dyDescent="0.35">
      <c r="A11" t="s">
        <v>100</v>
      </c>
      <c r="B11" t="s">
        <v>101</v>
      </c>
      <c r="C11" s="1">
        <f>IFERROR(SUMIFS(Operazioni!G:G,Operazioni!E:E,A11,Operazioni!C:C,"Ingresso")-SUMIFS(Operazioni!G:G,Operazioni!E:E,A11,Operazioni!C:C,"Uscita"),0)</f>
        <v>1</v>
      </c>
      <c r="E11" t="s">
        <v>31</v>
      </c>
      <c r="H11" s="35">
        <f t="shared" si="0"/>
        <v>0</v>
      </c>
      <c r="I11" s="36">
        <f>IFERROR(MAX(SUMIFS(Operazioni!N:N,Operazioni!E:E,A11,Operazioni!C:C,"Ingresso")-SUMIFS(Operazioni!Q:Q,Operazioni!E:E,A11,Operazioni!C:C,"Uscita"),0),0)</f>
        <v>0</v>
      </c>
      <c r="J11" s="16">
        <v>0</v>
      </c>
      <c r="K11" s="32">
        <v>0</v>
      </c>
      <c r="L11" s="35">
        <f t="shared" si="1"/>
        <v>0</v>
      </c>
      <c r="M11" s="1">
        <f>COUNTIFS(Operazioni!E:E,Inventario!A11,Operazioni!D:D,"Vendita")</f>
        <v>0</v>
      </c>
      <c r="N11" s="1">
        <f>SUMIFS(Operazioni!G:G,Operazioni!E:E,Inventario!A11,Operazioni!D:D,"Vendita")</f>
        <v>0</v>
      </c>
      <c r="O11" s="35">
        <f>SUMIFS(Operazioni!U:U,Operazioni!E:E,Inventario!A11,Operazioni!D:D,"Vendita")</f>
        <v>0</v>
      </c>
    </row>
    <row r="12" spans="1:15" x14ac:dyDescent="0.35">
      <c r="A12" t="s">
        <v>103</v>
      </c>
      <c r="B12" t="s">
        <v>104</v>
      </c>
      <c r="C12" s="1">
        <f>IFERROR(SUMIFS(Operazioni!G:G,Operazioni!E:E,A12,Operazioni!C:C,"Ingresso")-SUMIFS(Operazioni!G:G,Operazioni!E:E,A12,Operazioni!C:C,"Uscita"),0)</f>
        <v>3</v>
      </c>
      <c r="E12" t="s">
        <v>31</v>
      </c>
      <c r="H12" s="35">
        <f t="shared" si="0"/>
        <v>7.333333333333333</v>
      </c>
      <c r="I12" s="36">
        <f>IFERROR(MAX(SUMIFS(Operazioni!N:N,Operazioni!E:E,A12,Operazioni!C:C,"Ingresso")-SUMIFS(Operazioni!Q:Q,Operazioni!E:E,A12,Operazioni!C:C,"Uscita"),0),0)</f>
        <v>22</v>
      </c>
      <c r="J12" s="16">
        <v>0.22</v>
      </c>
      <c r="K12" s="32">
        <v>200</v>
      </c>
      <c r="L12" s="35">
        <f t="shared" si="1"/>
        <v>163.9344262295082</v>
      </c>
      <c r="M12" s="1">
        <f>COUNTIFS(Operazioni!E:E,Inventario!A12,Operazioni!D:D,"Vendita")</f>
        <v>0</v>
      </c>
      <c r="N12" s="1">
        <f>SUMIFS(Operazioni!G:G,Operazioni!E:E,Inventario!A12,Operazioni!D:D,"Vendita")</f>
        <v>0</v>
      </c>
      <c r="O12" s="35">
        <f>SUMIFS(Operazioni!U:U,Operazioni!E:E,Inventario!A12,Operazioni!D:D,"Vendita")</f>
        <v>0</v>
      </c>
    </row>
    <row r="13" spans="1:15" x14ac:dyDescent="0.35">
      <c r="A13">
        <v>252525</v>
      </c>
      <c r="B13">
        <v>252525</v>
      </c>
      <c r="C13" s="1">
        <f>IFERROR(SUMIFS(Operazioni!G:G,Operazioni!E:E,A13,Operazioni!C:C,"Ingresso")-SUMIFS(Operazioni!G:G,Operazioni!E:E,A13,Operazioni!C:C,"Uscita"),0)</f>
        <v>1</v>
      </c>
      <c r="E13" t="s">
        <v>31</v>
      </c>
      <c r="H13" s="35">
        <f t="shared" si="0"/>
        <v>3</v>
      </c>
      <c r="I13" s="36">
        <f>IFERROR(MAX(SUMIFS(Operazioni!N:N,Operazioni!E:E,A13,Operazioni!C:C,"Ingresso")-SUMIFS(Operazioni!Q:Q,Operazioni!E:E,A13,Operazioni!C:C,"Uscita"),0),0)</f>
        <v>3</v>
      </c>
      <c r="J13" s="16">
        <v>0.22</v>
      </c>
      <c r="K13" s="32">
        <v>35</v>
      </c>
      <c r="L13" s="35">
        <f t="shared" si="1"/>
        <v>28.688524590163937</v>
      </c>
      <c r="M13" s="1">
        <f>COUNTIFS(Operazioni!E:E,Inventario!A13,Operazioni!D:D,"Vendita")</f>
        <v>0</v>
      </c>
      <c r="N13" s="1">
        <f>SUMIFS(Operazioni!G:G,Operazioni!E:E,Inventario!A13,Operazioni!D:D,"Vendita")</f>
        <v>0</v>
      </c>
      <c r="O13" s="35">
        <f>SUMIFS(Operazioni!U:U,Operazioni!E:E,Inventario!A13,Operazioni!D:D,"Vendita")</f>
        <v>0</v>
      </c>
    </row>
    <row r="14" spans="1:15" x14ac:dyDescent="0.35">
      <c r="A14" t="s">
        <v>117</v>
      </c>
      <c r="B14" t="s">
        <v>118</v>
      </c>
      <c r="C14" s="1">
        <f>IFERROR(SUMIFS(Operazioni!G:G,Operazioni!E:E,A14,Operazioni!C:C,"Ingresso")-SUMIFS(Operazioni!G:G,Operazioni!E:E,A14,Operazioni!C:C,"Uscita"),0)</f>
        <v>1</v>
      </c>
      <c r="E14" t="s">
        <v>31</v>
      </c>
      <c r="H14" s="35">
        <f t="shared" si="0"/>
        <v>30</v>
      </c>
      <c r="I14" s="36">
        <f>IFERROR(MAX(SUMIFS(Operazioni!N:N,Operazioni!E:E,A14,Operazioni!C:C,"Ingresso")-SUMIFS(Operazioni!Q:Q,Operazioni!E:E,A14,Operazioni!C:C,"Uscita"),0),0)</f>
        <v>30</v>
      </c>
      <c r="J14" s="16">
        <v>0.22</v>
      </c>
      <c r="K14" s="32">
        <v>352</v>
      </c>
      <c r="L14" s="35">
        <f t="shared" si="1"/>
        <v>288.52459016393442</v>
      </c>
      <c r="M14" s="1">
        <f>COUNTIFS(Operazioni!E:E,Inventario!A14,Operazioni!D:D,"Vendita")</f>
        <v>0</v>
      </c>
      <c r="N14" s="1">
        <f>SUMIFS(Operazioni!G:G,Operazioni!E:E,Inventario!A14,Operazioni!D:D,"Vendita")</f>
        <v>0</v>
      </c>
      <c r="O14" s="35">
        <f>SUMIFS(Operazioni!U:U,Operazioni!E:E,Inventario!A14,Operazioni!D:D,"Vendita")</f>
        <v>0</v>
      </c>
    </row>
  </sheetData>
  <sheetProtection selectLockedCells="1" selectUnlockedCells="1"/>
  <autoFilter ref="A1:O14" xr:uid="{F8C13284-E237-44DD-8A86-BB51231357A5}"/>
  <phoneticPr fontId="1" type="noConversion"/>
  <conditionalFormatting sqref="A1:O1048576">
    <cfRule type="expression" dxfId="0" priority="2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09A2-4CDD-4CBD-B716-F25D68428C63}">
  <sheetPr codeName="Foglio3"/>
  <dimension ref="A2:F12"/>
  <sheetViews>
    <sheetView zoomScaleNormal="100" workbookViewId="0"/>
  </sheetViews>
  <sheetFormatPr defaultRowHeight="14.5" x14ac:dyDescent="0.35"/>
  <cols>
    <col min="1" max="1" width="21.08984375" bestFit="1" customWidth="1"/>
    <col min="2" max="2" width="10.08984375" bestFit="1" customWidth="1"/>
    <col min="3" max="3" width="10.54296875" bestFit="1" customWidth="1"/>
    <col min="5" max="5" width="23.36328125" bestFit="1" customWidth="1"/>
    <col min="6" max="6" width="15.81640625" customWidth="1"/>
  </cols>
  <sheetData>
    <row r="2" spans="1:6" x14ac:dyDescent="0.35">
      <c r="A2" t="s">
        <v>13</v>
      </c>
      <c r="B2">
        <f>COUNTA(Inventario!A:A)-1</f>
        <v>13</v>
      </c>
      <c r="E2" s="22" t="s">
        <v>16</v>
      </c>
      <c r="F2" s="19">
        <v>2</v>
      </c>
    </row>
    <row r="3" spans="1:6" x14ac:dyDescent="0.35">
      <c r="A3" t="s">
        <v>14</v>
      </c>
      <c r="B3">
        <f>SUM(Inventario!C:C)</f>
        <v>92</v>
      </c>
      <c r="E3" s="12" t="s">
        <v>9</v>
      </c>
      <c r="F3" s="20" t="str">
        <f>IFERROR(INDEX(Inventario!B:B,MATCH(Riepilogo!$F$2,Inventario!A:A,0)),"")</f>
        <v>nome 2</v>
      </c>
    </row>
    <row r="4" spans="1:6" x14ac:dyDescent="0.35">
      <c r="A4" t="s">
        <v>92</v>
      </c>
      <c r="B4" s="17">
        <f>SUM(Inventario!I:I)</f>
        <v>873.42660000000001</v>
      </c>
      <c r="E4" s="12" t="s">
        <v>93</v>
      </c>
      <c r="F4" s="20">
        <f>IFERROR(INDEX(Inventario!C:C,MATCH(Riepilogo!$F$2,Inventario!A:A,0)),"")</f>
        <v>23</v>
      </c>
    </row>
    <row r="5" spans="1:6" x14ac:dyDescent="0.35">
      <c r="A5" t="s">
        <v>120</v>
      </c>
      <c r="B5">
        <f>COUNTIF(Operazioni!D:D,"Vendita")</f>
        <v>22</v>
      </c>
      <c r="E5" s="12" t="s">
        <v>94</v>
      </c>
      <c r="F5" s="21">
        <f>IFERROR(INDEX(Inventario!I:I,MATCH(Riepilogo!$F$2,Inventario!A:A,0)),"")</f>
        <v>84</v>
      </c>
    </row>
    <row r="6" spans="1:6" x14ac:dyDescent="0.35">
      <c r="A6" t="s">
        <v>113</v>
      </c>
      <c r="B6">
        <f>SUMIFS(Operazioni!G:G,Operazioni!D:D,"Vendita",Operazioni!C:C,"Uscita")</f>
        <v>30</v>
      </c>
      <c r="E6" s="12" t="s">
        <v>95</v>
      </c>
      <c r="F6" s="46">
        <f>IFERROR(INDEX(Inventario!K:K,MATCH(Riepilogo!$F$2,Inventario!A:A,0)),"")</f>
        <v>100</v>
      </c>
    </row>
    <row r="7" spans="1:6" x14ac:dyDescent="0.35">
      <c r="A7" t="s">
        <v>131</v>
      </c>
      <c r="B7" s="24">
        <f>SUM(Operazioni!U:U)</f>
        <v>1062.7466000000002</v>
      </c>
      <c r="E7" s="12" t="s">
        <v>96</v>
      </c>
      <c r="F7" s="18">
        <f>IFERROR(INDEX(Inventario!J:J,MATCH(Riepilogo!$F$2,Inventario!A:A,0)),"")</f>
        <v>0.22</v>
      </c>
    </row>
    <row r="8" spans="1:6" ht="15" thickBot="1" x14ac:dyDescent="0.4">
      <c r="C8" s="14"/>
      <c r="E8" s="12" t="s">
        <v>120</v>
      </c>
      <c r="F8" s="23">
        <f>IFERROR(COUNTIFS(Operazioni!E:E,Riepilogo!F2,Operazioni!D:D,"Vendita",Operazioni!C:C,"Uscita"),0)</f>
        <v>0</v>
      </c>
    </row>
    <row r="9" spans="1:6" x14ac:dyDescent="0.35">
      <c r="A9" s="38"/>
      <c r="B9" s="39" t="s">
        <v>133</v>
      </c>
      <c r="C9" s="40" t="s">
        <v>134</v>
      </c>
      <c r="E9" s="12" t="s">
        <v>113</v>
      </c>
      <c r="F9" s="23">
        <f>IFERROR(SUMIFS(Operazioni!G:G,Operazioni!E:E,Riepilogo!F2,Operazioni!D:D,"Vendita",Operazioni!C:C,"Uscita"),0)</f>
        <v>0</v>
      </c>
    </row>
    <row r="10" spans="1:6" x14ac:dyDescent="0.35">
      <c r="A10" s="41" t="s">
        <v>121</v>
      </c>
      <c r="B10">
        <f>IFERROR(INDEX(Inventario!A:A,MATCH(C10,Inventario!M:M,0)),"")</f>
        <v>1</v>
      </c>
      <c r="C10" s="42">
        <f>MAX(Inventario!M:M)</f>
        <v>22</v>
      </c>
      <c r="E10" s="12" t="s">
        <v>131</v>
      </c>
      <c r="F10" s="25">
        <f>IFERROR(SUMIFS(Operazioni!U:U,Operazioni!E:E,Riepilogo!F2,Operazioni!D:D,"Vendita",Operazioni!C:C,"Uscita"),0)</f>
        <v>0</v>
      </c>
    </row>
    <row r="11" spans="1:6" x14ac:dyDescent="0.35">
      <c r="A11" s="41" t="s">
        <v>122</v>
      </c>
      <c r="B11">
        <f>IFERROR(INDEX(Inventario!A:A,MATCH(C11,Inventario!N:N,0)),"")</f>
        <v>1</v>
      </c>
      <c r="C11" s="42">
        <f>MAX(Inventario!N:N)</f>
        <v>30</v>
      </c>
    </row>
    <row r="12" spans="1:6" ht="15" thickBot="1" x14ac:dyDescent="0.4">
      <c r="A12" s="43" t="s">
        <v>123</v>
      </c>
      <c r="B12" s="44">
        <f>IFERROR(INDEX(Inventario!A:A,MATCH(C12,Inventario!O:O,0)),"")</f>
        <v>1</v>
      </c>
      <c r="C12" s="45">
        <f>MAX(Inventario!O:O)</f>
        <v>1062.7466000000002</v>
      </c>
    </row>
  </sheetData>
  <sheetProtection selectLockedCells="1" selectUnlockedCells="1"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Arrivi" Type="http://schemas.openxmlformats.org/officeDocument/2006/relationships/image" Target="images/Arrivi.png"/><Relationship Id="key" Type="http://schemas.openxmlformats.org/officeDocument/2006/relationships/image" Target="images/key.png"/><Relationship Id="video" Type="http://schemas.openxmlformats.org/officeDocument/2006/relationships/image" Target="images/video.png"/><Relationship Id="Telegram" Type="http://schemas.openxmlformats.org/officeDocument/2006/relationships/image" Target="images/Telegram.png"/><Relationship Id="check" Type="http://schemas.openxmlformats.org/officeDocument/2006/relationships/image" Target="images/check.png"/><Relationship Id="share" Type="http://schemas.openxmlformats.org/officeDocument/2006/relationships/image" Target="images/share.png"/><Relationship Id="cerca-transazione" Type="http://schemas.openxmlformats.org/officeDocument/2006/relationships/image" Target="images/cerca-transazione.png"/><Relationship Id="impostazioni" Type="http://schemas.openxmlformats.org/officeDocument/2006/relationships/image" Target="images/impostazioni.png"/><Relationship Id="out" Type="http://schemas.openxmlformats.org/officeDocument/2006/relationships/image" Target="images/out.png"/><Relationship Id="info" Type="http://schemas.openxmlformats.org/officeDocument/2006/relationships/image" Target="images/info.png"/><Relationship Id="import" Type="http://schemas.openxmlformats.org/officeDocument/2006/relationships/image" Target="images/import.png"/><Relationship Id="income" Type="http://schemas.openxmlformats.org/officeDocument/2006/relationships/image" Target="images/income.png"/><Relationship Id="add-file" Type="http://schemas.openxmlformats.org/officeDocument/2006/relationships/image" Target="images/add-file.png"/><Relationship Id="email" Type="http://schemas.openxmlformats.org/officeDocument/2006/relationships/image" Target="images/email.png"/><Relationship Id="settings" Type="http://schemas.openxmlformats.org/officeDocument/2006/relationships/image" Target="images/settings.png"/><Relationship Id="help" Type="http://schemas.openxmlformats.org/officeDocument/2006/relationships/image" Target="images/help.png"/><Relationship Id="quality-control" Type="http://schemas.openxmlformats.org/officeDocument/2006/relationships/image" Target="images/quality-control.png"/><Relationship Id="fix" Type="http://schemas.openxmlformats.org/officeDocument/2006/relationships/image" Target="images/fix.png"/><Relationship Id="adjust" Type="http://schemas.openxmlformats.org/officeDocument/2006/relationships/image" Target="images/adjust.png"/><Relationship Id="box" Type="http://schemas.openxmlformats.org/officeDocument/2006/relationships/image" Target="images/box.png"/><Relationship Id="floppy" Type="http://schemas.openxmlformats.org/officeDocument/2006/relationships/image" Target="images/floppy.png"/></Relationships>
</file>

<file path=customUI/customUI14.xml><?xml version="1.0" encoding="utf-8"?>
<customUI xmlns="http://schemas.microsoft.com/office/2009/07/customui">
  <ribbon startFromScratch="false">
    <tabs>
      <tab id="Inventario" label="Inventario">
        <group id="RisorseG" label="Risorse">
          <button id="Affiliati2" image="income" label="Affiliati" screentip="Porta un amico e guadagna. Unisciti al nostro programma di affiliazione" onAction="Affiliati"/>
          <splitButton id="ComunicazioneSB">
            <button id="TelegramSB" label="Telegram" image="Telegram" screentip="Iscriviti al nostro gruppo Telegram" onAction="Telegram"/>
            <menu>
              <button id="Telegram" image="Telegram" label="Telegram" screentip="Iscriviti al nostro gruppo Telegram" onAction="Telegram"/>
              <button id="Affiliati" image="income" label="Affiliati" screentip="Porta un amico e guadagna. Unisciti al nostro programma di affiliazione" onAction="Affiliati"/>
              <button id="email" image="email" label="Newsletter" screentip="Iscriviti alla nostra newsletter" onAction="Newsletter"/>
              <button id="share" image="share" label="Condividi" screentip="Condividi questo add-on!" onAction="Share"/>
            </menu>
          </splitButton>
          <splitButton id="AiutoSB">
            <button id="versionSB" label="v0.7 beta" image="check" screentip="Versione corrente"/>
            <menu>
              <button id="info" image="info" label="Info" screentip="Informazioni e crediti" onAction="InfoShow"/>
              <button id="Tutorial" image="video" label="Tutorial" screentip="Guarda i tutorial e le guide" onAction="Tutorial"/>
            </menu>
          </splitButton>
        </group>
        <group id="Inventory" label="Inventario">
          <labelControl id="mySpace0" label=" "/>
          <button id="Arrivi" image="Arrivi" size="large" label="Arrivo" screentip="Inserisci nuovi arrivi" onAction="RegistraArrivo"/>
          <labelControl id="mySpace1" label=" "/>
          <labelControl id="mySpace2" label=" "/>
          <button id="Uscite" image="out" size="large" label="Uscita" screentip="Sottrai quantità all'inventario" onAction="RegistraUscita"/>
          <button id="Adjust" image="adjust" size="normal" label="Aggiustamenti" screentip="Quantità iniziale, furti, smarrimenti, ed altri aggiustamenti" onAction="AdjstShow"/>
          <button id="SearchOp" image="cerca-transazione" size="normal" label="Cerca Operazione" screentip="Cerca operazione tra quelle eseguite" onAction="CercaOperazione"/>
        </group>
        <group id="File" label="File">
          <labelControl id="mySpace11" label=" "/>
          <button id="Ripristina" image="fix" size="large" label="Aggiorna e Ripristina" screentip="Ripristina formule e filtri di default" onAction="RipristinoFF"/>
          <labelControl id="mySpace12" label=" "/>
          <labelControl id="mySpace13" label=" "/>
          <menu id="menuButton" image="settings" size="large" label="Avanzate" screentip="Impostazioni e funzionalità avanzate">
            <button id="action1" label="Backup" onAction="BackupMacro" image="floppy" screentip="Crea uno o più file di backup una o più cartelle selezionabili"/>
            <button id="action2" label="Importa Dati" onAction="ImportaMacro" image="import" screentip="Importa dati da un altro file o versione"/>
            <button id="action3" label="Archivia Operazioni" onAction="ArchiviaMacro" image="box" screentip="Archivia operazioni. (Obligatorio) Crea un backup. (Opzionale) Velocizza file accorpando le operazioni"/>
            <button id="action4" label="Impostazioni File" onAction="ImpostazioniMacro" image="impostazioni" screentip="Impostazioni file, valuta, contabilità, etc."/>
          </menu>
          <labelControl id="mySpace16" label=" "/>
        </group>
        <group id="SKUs" label="Prodotti">
          <labelControl id="mySpace4" label=" "/>
          <button id="AddProduct" image="add-file" size="large" label="Registra Nuovo Prodotto" screentip="Registra un nuovo prodotto" onAction="RegistraProdotto"/>
          <labelControl id="mySpace5" label=" "/>
          <button id="SearchProduct" image="quality-control" size="large" label="Cerca Prodotto" screentip="Cerca un prodotto" onAction="CercaProdotto"/>
          <labelControl id="mySpace6" label=" "/>
        </group>
        <group id="AccountG" label="Account">
          <labelControl id="mySpace7" label=" "/>
          <button id="Account" image="key" size="large" label="Accesso" screentip="Inserisci o modifica la tua chiave d'accesso" onAction="Account"/>
          <labelControl id="mySpace8" label=" 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Settings</vt:lpstr>
      <vt:lpstr>Operazioni</vt:lpstr>
      <vt:lpstr>Inventario</vt:lpstr>
      <vt:lpstr>Riepilogo</vt:lpstr>
    </vt:vector>
  </TitlesOfParts>
  <Manager>Matteo Olla</Manager>
  <Company>MasterExcel.it</Company>
  <LinksUpToDate>false</LinksUpToDate>
  <SharedDoc>false</SharedDoc>
  <HyperlinkBase>https://masterexcel.it/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Gestione Magazzino Excel</dc:title>
  <dc:creator>MasterExcel.it</dc:creator>
  <cp:lastModifiedBy>Matteo Olla</cp:lastModifiedBy>
  <dcterms:created xsi:type="dcterms:W3CDTF">2015-06-05T18:17:20Z</dcterms:created>
  <dcterms:modified xsi:type="dcterms:W3CDTF">2025-01-23T21:47:21Z</dcterms:modified>
  <dc:language>Italiano</dc:language>
  <cp:version>v0.7beta</cp:version>
</cp:coreProperties>
</file>